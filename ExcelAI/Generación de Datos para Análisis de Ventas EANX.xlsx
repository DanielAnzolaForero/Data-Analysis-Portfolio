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BA07AF5-5876-4DBA-95F6-9DBFDFC9C34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Generación de Datos para Anális" sheetId="1" r:id="rId1"/>
    <sheet name="Detalle1" sheetId="8" r:id="rId2"/>
    <sheet name="Hoja4" sheetId="5" r:id="rId3"/>
    <sheet name="Hoja5" sheetId="6" r:id="rId4"/>
    <sheet name="Hoja6" sheetId="7" r:id="rId5"/>
  </sheets>
  <calcPr calcId="191029"/>
  <pivotCaches>
    <pivotCache cacheId="39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01" i="1"/>
  <c r="G100" i="1"/>
  <c r="G99" i="1"/>
  <c r="G98" i="1"/>
  <c r="G96" i="1"/>
  <c r="I96" i="1" s="1"/>
  <c r="G95" i="1"/>
  <c r="I95" i="1" s="1"/>
  <c r="G94" i="1"/>
  <c r="G93" i="1"/>
  <c r="G92" i="1"/>
  <c r="G91" i="1"/>
  <c r="G90" i="1"/>
  <c r="G89" i="1"/>
  <c r="I89" i="1" s="1"/>
  <c r="G88" i="1"/>
  <c r="I88" i="1" s="1"/>
  <c r="G87" i="1"/>
  <c r="I87" i="1" s="1"/>
  <c r="G86" i="1"/>
  <c r="G85" i="1"/>
  <c r="G84" i="1"/>
  <c r="G83" i="1"/>
  <c r="G82" i="1"/>
  <c r="G81" i="1"/>
  <c r="I81" i="1" s="1"/>
  <c r="G80" i="1"/>
  <c r="I80" i="1" s="1"/>
  <c r="G79" i="1"/>
  <c r="I79" i="1" s="1"/>
  <c r="G78" i="1"/>
  <c r="G77" i="1"/>
  <c r="G76" i="1"/>
  <c r="G75" i="1"/>
  <c r="G74" i="1"/>
  <c r="G73" i="1"/>
  <c r="I73" i="1" s="1"/>
  <c r="G72" i="1"/>
  <c r="I72" i="1"/>
  <c r="G71" i="1"/>
  <c r="I71" i="1"/>
  <c r="G70" i="1"/>
  <c r="G69" i="1"/>
  <c r="G68" i="1"/>
  <c r="G67" i="1"/>
  <c r="G66" i="1"/>
  <c r="G64" i="1"/>
  <c r="I64" i="1" s="1"/>
  <c r="G63" i="1"/>
  <c r="I63" i="1" s="1"/>
  <c r="G62" i="1"/>
  <c r="G61" i="1"/>
  <c r="G60" i="1"/>
  <c r="G59" i="1"/>
  <c r="G58" i="1"/>
  <c r="G57" i="1"/>
  <c r="I57" i="1"/>
  <c r="G56" i="1"/>
  <c r="I56" i="1" s="1"/>
  <c r="G55" i="1"/>
  <c r="I55" i="1" s="1"/>
  <c r="G54" i="1"/>
  <c r="G53" i="1"/>
  <c r="G52" i="1"/>
  <c r="G51" i="1"/>
  <c r="G50" i="1"/>
  <c r="G49" i="1"/>
  <c r="I49" i="1" s="1"/>
  <c r="G48" i="1"/>
  <c r="G47" i="1"/>
  <c r="I47" i="1" s="1"/>
  <c r="G46" i="1"/>
  <c r="G45" i="1"/>
  <c r="G44" i="1"/>
  <c r="G43" i="1"/>
  <c r="G42" i="1"/>
  <c r="G41" i="1"/>
  <c r="G40" i="1"/>
  <c r="I40" i="1" s="1"/>
  <c r="G39" i="1"/>
  <c r="G38" i="1"/>
  <c r="G37" i="1"/>
  <c r="G36" i="1"/>
  <c r="G35" i="1"/>
  <c r="G34" i="1"/>
  <c r="G33" i="1"/>
  <c r="I33" i="1" s="1"/>
  <c r="G32" i="1"/>
  <c r="I32" i="1" s="1"/>
  <c r="G31" i="1"/>
  <c r="G30" i="1"/>
  <c r="G29" i="1"/>
  <c r="G28" i="1"/>
  <c r="G27" i="1"/>
  <c r="G26" i="1"/>
  <c r="G25" i="1"/>
  <c r="I25" i="1" s="1"/>
  <c r="G24" i="1"/>
  <c r="I24" i="1"/>
  <c r="G23" i="1"/>
  <c r="G22" i="1"/>
  <c r="G21" i="1"/>
  <c r="G20" i="1"/>
  <c r="G19" i="1"/>
  <c r="G18" i="1"/>
  <c r="G17" i="1"/>
  <c r="I17" i="1" s="1"/>
  <c r="G16" i="1"/>
  <c r="I16" i="1" s="1"/>
  <c r="G15" i="1"/>
  <c r="G14" i="1"/>
  <c r="G13" i="1"/>
  <c r="G12" i="1"/>
  <c r="G11" i="1"/>
  <c r="G10" i="1"/>
  <c r="G9" i="1"/>
  <c r="I9" i="1" s="1"/>
  <c r="G8" i="1"/>
  <c r="I8" i="1" s="1"/>
  <c r="G7" i="1"/>
  <c r="G6" i="1"/>
  <c r="G5" i="1"/>
  <c r="G4" i="1"/>
  <c r="G3" i="1"/>
  <c r="I23" i="1" l="1"/>
  <c r="I39" i="1"/>
  <c r="I15" i="1"/>
  <c r="I4" i="1"/>
  <c r="I12" i="1"/>
  <c r="I28" i="1"/>
  <c r="I36" i="1"/>
  <c r="I44" i="1"/>
  <c r="I52" i="1"/>
  <c r="I60" i="1"/>
  <c r="I68" i="1"/>
  <c r="I76" i="1"/>
  <c r="I84" i="1"/>
  <c r="I92" i="1"/>
  <c r="I100" i="1"/>
  <c r="I48" i="1"/>
  <c r="I41" i="1"/>
  <c r="I31" i="1"/>
  <c r="I5" i="1"/>
  <c r="I13" i="1"/>
  <c r="I21" i="1"/>
  <c r="I29" i="1"/>
  <c r="I37" i="1"/>
  <c r="I45" i="1"/>
  <c r="I53" i="1"/>
  <c r="I61" i="1"/>
  <c r="I69" i="1"/>
  <c r="I77" i="1"/>
  <c r="I85" i="1"/>
  <c r="I93" i="1"/>
  <c r="I101" i="1"/>
  <c r="I78" i="1"/>
  <c r="I14" i="1"/>
  <c r="I46" i="1"/>
  <c r="I94" i="1"/>
  <c r="I30" i="1"/>
  <c r="I62" i="1"/>
  <c r="I3" i="1"/>
  <c r="I11" i="1"/>
  <c r="I19" i="1"/>
  <c r="I27" i="1"/>
  <c r="I35" i="1"/>
  <c r="I43" i="1"/>
  <c r="I51" i="1"/>
  <c r="I59" i="1"/>
  <c r="I67" i="1"/>
  <c r="I75" i="1"/>
  <c r="I83" i="1"/>
  <c r="I91" i="1"/>
  <c r="I99" i="1"/>
  <c r="I2" i="1"/>
  <c r="I10" i="1"/>
  <c r="I18" i="1"/>
  <c r="I26" i="1"/>
  <c r="I34" i="1"/>
  <c r="I42" i="1"/>
  <c r="I50" i="1"/>
  <c r="I58" i="1"/>
  <c r="I66" i="1"/>
  <c r="I74" i="1"/>
  <c r="I82" i="1"/>
  <c r="I90" i="1"/>
  <c r="I98" i="1"/>
  <c r="I7" i="1"/>
  <c r="I20" i="1"/>
  <c r="I6" i="1"/>
  <c r="I22" i="1"/>
  <c r="I38" i="1"/>
  <c r="I54" i="1"/>
  <c r="I70" i="1"/>
  <c r="I86" i="1"/>
  <c r="G65" i="1"/>
  <c r="I65" i="1" s="1"/>
  <c r="G97" i="1"/>
  <c r="I97" i="1" s="1"/>
</calcChain>
</file>

<file path=xl/sharedStrings.xml><?xml version="1.0" encoding="utf-8"?>
<sst xmlns="http://schemas.openxmlformats.org/spreadsheetml/2006/main" count="378" uniqueCount="30">
  <si>
    <t>ID Pedido</t>
  </si>
  <si>
    <t>Fecha</t>
  </si>
  <si>
    <t>Categoría</t>
  </si>
  <si>
    <t>Producto</t>
  </si>
  <si>
    <t>Unidades</t>
  </si>
  <si>
    <t>Costo Unitario</t>
  </si>
  <si>
    <t>Precio Venta</t>
  </si>
  <si>
    <t>Electrónica</t>
  </si>
  <si>
    <t>Auriculares</t>
  </si>
  <si>
    <t>Ana García</t>
  </si>
  <si>
    <t>Hogar</t>
  </si>
  <si>
    <t>Cafetera</t>
  </si>
  <si>
    <t>Luis Pérez</t>
  </si>
  <si>
    <t>Ropa</t>
  </si>
  <si>
    <t>Camiseta</t>
  </si>
  <si>
    <t>Marta Ruiz</t>
  </si>
  <si>
    <t>Mouse</t>
  </si>
  <si>
    <t>Lámpara</t>
  </si>
  <si>
    <t>Pantalón</t>
  </si>
  <si>
    <t>Teclado</t>
  </si>
  <si>
    <t>Espejo</t>
  </si>
  <si>
    <t>Sudadera</t>
  </si>
  <si>
    <t>Monitor</t>
  </si>
  <si>
    <t>TOTAL</t>
  </si>
  <si>
    <t>Total general</t>
  </si>
  <si>
    <t>Comprador</t>
  </si>
  <si>
    <t>Suma de TOTAL</t>
  </si>
  <si>
    <t>¿Quién compro más y quién compro menos?</t>
  </si>
  <si>
    <t>Promedio de TOTAL</t>
  </si>
  <si>
    <t>Detalles para Promedio de TOTAL - Fecha: 1/22/2025, Categoría: Electrónica, Comprador: Ana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</si>
</sst>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6">
    <dxf>
      <numFmt numFmtId="19" formatCode="d/mm/yyyy"/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Generación de Datos para Anális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[Generación de Datos para Análisis de Ventas EANX.xlsx]Hoja5!Tabla 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"Categoría: Ropa", </a:t>
            </a:r>
            <a:r>
              <a:rPr lang="en-US">
                <a:solidFill>
                  <a:srgbClr val="DD5A13"/>
                </a:solidFill>
              </a:rPr>
              <a:t>TOTAL</a:t>
            </a:r>
            <a:r>
              <a:rPr lang="en-US"/>
              <a:t> aumenta con el tiempo.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Hoja5!$A$5:$A$8</c:f>
              <c:strCache>
                <c:ptCount val="3"/>
                <c:pt idx="0">
                  <c:v>05/01/2025</c:v>
                </c:pt>
                <c:pt idx="1">
                  <c:v>12/01/2025</c:v>
                </c:pt>
                <c:pt idx="2">
                  <c:v>20/01/2025</c:v>
                </c:pt>
              </c:strCache>
            </c:strRef>
          </c:cat>
          <c:val>
            <c:numRef>
              <c:f>Hoja5!$B$5:$B$8</c:f>
              <c:numCache>
                <c:formatCode>General</c:formatCode>
                <c:ptCount val="3"/>
                <c:pt idx="0">
                  <c:v>401156.1</c:v>
                </c:pt>
                <c:pt idx="1">
                  <c:v>396719.25</c:v>
                </c:pt>
                <c:pt idx="2">
                  <c:v>538632.44999999995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E0-4982-928D-631AF20F1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867183"/>
        <c:axId val="1460867663"/>
      </c:lineChart>
      <c:catAx>
        <c:axId val="1460867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67663"/>
        <c:crosses val="autoZero"/>
        <c:auto val="1"/>
        <c:lblAlgn val="ctr"/>
        <c:lblOffset val="100"/>
        <c:noMultiLvlLbl val="0"/>
      </c:catAx>
      <c:valAx>
        <c:axId val="146086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67183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[Generación de Datos para Análisis de Ventas EANX.xlsx]Hoja4!Tabla 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"Producto: Mouse", "Comprador": </a:t>
            </a:r>
            <a:r>
              <a:rPr lang="en-US">
                <a:solidFill>
                  <a:srgbClr val="DD5A13"/>
                </a:solidFill>
              </a:rPr>
              <a:t>Ana García</a:t>
            </a:r>
            <a:r>
              <a:rPr lang="en-US"/>
              <a:t> tiene un valor de "TOTAL"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  <c:pivotFmt>
        <c:idx val="4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Hoja4!$B$4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7D-4D37-98FB-8B15A0121FD8}"/>
              </c:ext>
            </c:extLst>
          </c:dPt>
          <c:cat>
            <c:strRef>
              <c:f>Hoja4!$A$5:$A$8</c:f>
              <c:strCache>
                <c:ptCount val="3"/>
                <c:pt idx="0">
                  <c:v>Ana García</c:v>
                </c:pt>
                <c:pt idx="1">
                  <c:v>Marta Ruiz</c:v>
                </c:pt>
                <c:pt idx="2">
                  <c:v>Luis Pérez</c:v>
                </c:pt>
              </c:strCache>
            </c:strRef>
          </c:cat>
          <c:val>
            <c:numRef>
              <c:f>Hoja4!$B$5:$B$8</c:f>
              <c:numCache>
                <c:formatCode>General</c:formatCode>
                <c:ptCount val="3"/>
                <c:pt idx="0">
                  <c:v>805362.75</c:v>
                </c:pt>
                <c:pt idx="1">
                  <c:v>322209</c:v>
                </c:pt>
                <c:pt idx="2">
                  <c:v>182629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7D-4D37-98FB-8B15A0121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60848943"/>
        <c:axId val="1460857103"/>
      </c:barChart>
      <c:catAx>
        <c:axId val="146084894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Comprador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57103"/>
        <c:crosses val="autoZero"/>
        <c:auto val="1"/>
        <c:lblAlgn val="ctr"/>
        <c:lblOffset val="100"/>
        <c:noMultiLvlLbl val="0"/>
      </c:catAx>
      <c:valAx>
        <c:axId val="14608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4894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[Generación de Datos para Análisis de Ventas EANX.xlsx]Hoja6!Tabla dinámica3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"Categoría: Electrónica" y "Comprador: Ana García", </a:t>
            </a:r>
            <a:r>
              <a:rPr lang="en-US">
                <a:solidFill>
                  <a:srgbClr val="DD5A13"/>
                </a:solidFill>
              </a:rPr>
              <a:t>TOTAL</a:t>
            </a:r>
            <a:r>
              <a:rPr lang="en-US"/>
              <a:t> disminuye con el tiempo.</a:t>
            </a:r>
          </a:p>
        </c:rich>
      </c:tx>
      <c:layout>
        <c:manualLayout>
          <c:xMode val="edge"/>
          <c:yMode val="edge"/>
          <c:x val="0.1289810951414179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58952734905496"/>
          <c:y val="0.43194444444444446"/>
          <c:w val="0.69831408693776054"/>
          <c:h val="0.48712962962962963"/>
        </c:manualLayout>
      </c:layout>
      <c:lineChart>
        <c:grouping val="standard"/>
        <c:varyColors val="0"/>
        <c:ser>
          <c:idx val="0"/>
          <c:order val="0"/>
          <c:tx>
            <c:strRef>
              <c:f>Hoja6!$B$5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Hoja6!$A$6:$A$10</c:f>
              <c:strCache>
                <c:ptCount val="4"/>
                <c:pt idx="0">
                  <c:v>01/01/2025</c:v>
                </c:pt>
                <c:pt idx="1">
                  <c:v>07/01/2025</c:v>
                </c:pt>
                <c:pt idx="2">
                  <c:v>15/01/2025</c:v>
                </c:pt>
                <c:pt idx="3">
                  <c:v>22/01/2025</c:v>
                </c:pt>
              </c:strCache>
            </c:strRef>
          </c:cat>
          <c:val>
            <c:numRef>
              <c:f>Hoja6!$B$6:$B$10</c:f>
              <c:numCache>
                <c:formatCode>General</c:formatCode>
                <c:ptCount val="4"/>
                <c:pt idx="0">
                  <c:v>813758.25</c:v>
                </c:pt>
                <c:pt idx="1">
                  <c:v>805362.75</c:v>
                </c:pt>
                <c:pt idx="2">
                  <c:v>636712.5</c:v>
                </c:pt>
                <c:pt idx="3">
                  <c:v>263821.875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D-4CEF-B84A-D9D82AA5D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880143"/>
        <c:axId val="1460888303"/>
      </c:lineChart>
      <c:catAx>
        <c:axId val="1460880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88303"/>
        <c:crosses val="autoZero"/>
        <c:auto val="1"/>
        <c:lblAlgn val="ctr"/>
        <c:lblOffset val="100"/>
        <c:noMultiLvlLbl val="0"/>
      </c:catAx>
      <c:valAx>
        <c:axId val="14608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80143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[Generación de Datos para Análisis de Ventas EANX.xlsx]Generación de Datos para Anális!TablaDinámica3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'Generación de Datos para Anális'!$L$2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'Generación de Datos para Anális'!$K$3:$K$6</c:f>
              <c:strCache>
                <c:ptCount val="3"/>
                <c:pt idx="0">
                  <c:v>Marta Ruiz</c:v>
                </c:pt>
                <c:pt idx="1">
                  <c:v>Ana García</c:v>
                </c:pt>
                <c:pt idx="2">
                  <c:v>Luis Pérez</c:v>
                </c:pt>
              </c:strCache>
            </c:strRef>
          </c:cat>
          <c:val>
            <c:numRef>
              <c:f>'Generación de Datos para Anális'!$L$3:$L$6</c:f>
              <c:numCache>
                <c:formatCode>General</c:formatCode>
                <c:ptCount val="3"/>
                <c:pt idx="0">
                  <c:v>14131117.5</c:v>
                </c:pt>
                <c:pt idx="1">
                  <c:v>19716504</c:v>
                </c:pt>
                <c:pt idx="2">
                  <c:v>11081304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2-4465-B21F-9AE7E1E8A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0613663"/>
        <c:axId val="1240613183"/>
        <c:axId val="0"/>
      </c:bar3DChart>
      <c:catAx>
        <c:axId val="124061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40613183"/>
        <c:crosses val="autoZero"/>
        <c:auto val="1"/>
        <c:lblAlgn val="ctr"/>
        <c:lblOffset val="100"/>
        <c:noMultiLvlLbl val="0"/>
      </c:catAx>
      <c:valAx>
        <c:axId val="124061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4061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[Generación de Datos para Análisis de Ventas EANX.xlsx]Hoja4!Tabla 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"Producto: Mouse", "Comprador": </a:t>
            </a:r>
            <a:r>
              <a:rPr lang="en-US">
                <a:solidFill>
                  <a:srgbClr val="DD5A13"/>
                </a:solidFill>
              </a:rPr>
              <a:t>Ana García</a:t>
            </a:r>
            <a:r>
              <a:rPr lang="en-US"/>
              <a:t> tiene un valor de "TOTAL"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Hoja4!$B$4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F5-46C4-8A3F-D39EEA013729}"/>
              </c:ext>
            </c:extLst>
          </c:dPt>
          <c:cat>
            <c:strRef>
              <c:f>Hoja4!$A$5:$A$8</c:f>
              <c:strCache>
                <c:ptCount val="3"/>
                <c:pt idx="0">
                  <c:v>Ana García</c:v>
                </c:pt>
                <c:pt idx="1">
                  <c:v>Marta Ruiz</c:v>
                </c:pt>
                <c:pt idx="2">
                  <c:v>Luis Pérez</c:v>
                </c:pt>
              </c:strCache>
            </c:strRef>
          </c:cat>
          <c:val>
            <c:numRef>
              <c:f>Hoja4!$B$5:$B$8</c:f>
              <c:numCache>
                <c:formatCode>General</c:formatCode>
                <c:ptCount val="3"/>
                <c:pt idx="0">
                  <c:v>805362.75</c:v>
                </c:pt>
                <c:pt idx="1">
                  <c:v>322209</c:v>
                </c:pt>
                <c:pt idx="2">
                  <c:v>182629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5-46C4-8A3F-D39EEA013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60848943"/>
        <c:axId val="1460857103"/>
      </c:barChart>
      <c:catAx>
        <c:axId val="146084894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Comprador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57103"/>
        <c:crosses val="autoZero"/>
        <c:auto val="1"/>
        <c:lblAlgn val="ctr"/>
        <c:lblOffset val="100"/>
        <c:noMultiLvlLbl val="0"/>
      </c:catAx>
      <c:valAx>
        <c:axId val="146085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4894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[Generación de Datos para Análisis de Ventas EANX.xlsx]Hoja5!Tabla 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"Categoría: Ropa", </a:t>
            </a:r>
            <a:r>
              <a:rPr lang="en-US">
                <a:solidFill>
                  <a:srgbClr val="DD5A13"/>
                </a:solidFill>
              </a:rPr>
              <a:t>TOTAL</a:t>
            </a:r>
            <a:r>
              <a:rPr lang="en-US"/>
              <a:t> aumenta con el tiempo.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Hoja5!$A$5:$A$8</c:f>
              <c:strCache>
                <c:ptCount val="3"/>
                <c:pt idx="0">
                  <c:v>05/01/2025</c:v>
                </c:pt>
                <c:pt idx="1">
                  <c:v>12/01/2025</c:v>
                </c:pt>
                <c:pt idx="2">
                  <c:v>20/01/2025</c:v>
                </c:pt>
              </c:strCache>
            </c:strRef>
          </c:cat>
          <c:val>
            <c:numRef>
              <c:f>Hoja5!$B$5:$B$8</c:f>
              <c:numCache>
                <c:formatCode>General</c:formatCode>
                <c:ptCount val="3"/>
                <c:pt idx="0">
                  <c:v>401156.1</c:v>
                </c:pt>
                <c:pt idx="1">
                  <c:v>396719.25</c:v>
                </c:pt>
                <c:pt idx="2">
                  <c:v>538632.44999999995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7-4ABB-8945-AF401ED33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867183"/>
        <c:axId val="1460867663"/>
      </c:lineChart>
      <c:catAx>
        <c:axId val="1460867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67663"/>
        <c:crosses val="autoZero"/>
        <c:auto val="1"/>
        <c:lblAlgn val="ctr"/>
        <c:lblOffset val="100"/>
        <c:noMultiLvlLbl val="0"/>
      </c:catAx>
      <c:valAx>
        <c:axId val="146086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867183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8666</xdr:colOff>
      <xdr:row>42</xdr:row>
      <xdr:rowOff>160119</xdr:rowOff>
    </xdr:from>
    <xdr:to>
      <xdr:col>19</xdr:col>
      <xdr:colOff>204092</xdr:colOff>
      <xdr:row>56</xdr:row>
      <xdr:rowOff>142986</xdr:rowOff>
    </xdr:to>
    <xdr:graphicFrame macro="">
      <xdr:nvGraphicFramePr>
        <xdr:cNvPr id="3" name="Gráfico 2" descr="Tipo de gráfico: Líneas. Para &quot;Categoría: Ropa&quot;, TOTAL aumenta con el tiempo.&#10;&#10;Descripción generada automáticamente">
          <a:extLst>
            <a:ext uri="{FF2B5EF4-FFF2-40B4-BE49-F238E27FC236}">
              <a16:creationId xmlns:a16="http://schemas.microsoft.com/office/drawing/2014/main" id="{2E7ED3C5-C704-4473-8572-F533BB0AA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-1</xdr:colOff>
      <xdr:row>68</xdr:row>
      <xdr:rowOff>171978</xdr:rowOff>
    </xdr:from>
    <xdr:to>
      <xdr:col>19</xdr:col>
      <xdr:colOff>-1</xdr:colOff>
      <xdr:row>85</xdr:row>
      <xdr:rowOff>52916</xdr:rowOff>
    </xdr:to>
    <xdr:graphicFrame macro="">
      <xdr:nvGraphicFramePr>
        <xdr:cNvPr id="4" name="Gráfico 3" descr="Tipo de gráfico: Barras agrupadas. Para &quot;Producto: Mouse&quot;, &quot;Comprador&quot;: Ana García tiene un valor de &quot;TOTAL&quot; notablemente superior.&#10;&#10;Descripción generada automáticamente">
          <a:extLst>
            <a:ext uri="{FF2B5EF4-FFF2-40B4-BE49-F238E27FC236}">
              <a16:creationId xmlns:a16="http://schemas.microsoft.com/office/drawing/2014/main" id="{F8A52C0E-FD0E-455F-BEB0-E851A5D74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884073</xdr:colOff>
      <xdr:row>17</xdr:row>
      <xdr:rowOff>135484</xdr:rowOff>
    </xdr:from>
    <xdr:to>
      <xdr:col>19</xdr:col>
      <xdr:colOff>13229</xdr:colOff>
      <xdr:row>35</xdr:row>
      <xdr:rowOff>79375</xdr:rowOff>
    </xdr:to>
    <xdr:graphicFrame macro="">
      <xdr:nvGraphicFramePr>
        <xdr:cNvPr id="5" name="Gráfico 4" descr="Tipo de gráfico: Líneas. Para &quot;Categoría: Electrónica&quot; y &quot;Comprador: Ana García&quot;, TOTAL disminuye con el tiempo.&#10;&#10;Descripción generada automáticamente">
          <a:extLst>
            <a:ext uri="{FF2B5EF4-FFF2-40B4-BE49-F238E27FC236}">
              <a16:creationId xmlns:a16="http://schemas.microsoft.com/office/drawing/2014/main" id="{DEB20C1B-8E9F-473F-A013-DC3FC1B4B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861630</xdr:colOff>
      <xdr:row>0</xdr:row>
      <xdr:rowOff>0</xdr:rowOff>
    </xdr:from>
    <xdr:to>
      <xdr:col>18</xdr:col>
      <xdr:colOff>846666</xdr:colOff>
      <xdr:row>12</xdr:row>
      <xdr:rowOff>158750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A8AAA8E-483C-0E87-8584-6AA677F20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0</xdr:colOff>
      <xdr:row>18</xdr:row>
      <xdr:rowOff>44450</xdr:rowOff>
    </xdr:to>
    <xdr:graphicFrame macro="">
      <xdr:nvGraphicFramePr>
        <xdr:cNvPr id="2" name="Gráfico 1" descr="Tipo de gráfico: Barras agrupadas. Para &quot;Producto: Mouse&quot;, &quot;Comprador&quot;: Ana García tiene un valor de &quot;TOTAL&quot; notablemente superior.&#10;&#10;Descripción generada automáticamente">
          <a:extLst>
            <a:ext uri="{FF2B5EF4-FFF2-40B4-BE49-F238E27FC236}">
              <a16:creationId xmlns:a16="http://schemas.microsoft.com/office/drawing/2014/main" id="{CDE1A4EE-2894-196A-10F3-240159A1F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0</xdr:colOff>
      <xdr:row>18</xdr:row>
      <xdr:rowOff>44450</xdr:rowOff>
    </xdr:to>
    <xdr:graphicFrame macro="">
      <xdr:nvGraphicFramePr>
        <xdr:cNvPr id="2" name="Gráfico 1" descr="Tipo de gráfico: Líneas. Para &quot;Categoría: Ropa&quot;, TOTAL aumenta con el tiempo.&#10;&#10;Descripción generada automáticamente">
          <a:extLst>
            <a:ext uri="{FF2B5EF4-FFF2-40B4-BE49-F238E27FC236}">
              <a16:creationId xmlns:a16="http://schemas.microsoft.com/office/drawing/2014/main" id="{BDF3F5BB-7999-5D96-2AA2-54F488574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 RYZEN 7 PRO" refreshedDate="46054.499047685182" createdVersion="8" refreshedVersion="8" minRefreshableVersion="3" recordCount="100" xr:uid="{7E59CF37-C6C8-478A-A27A-8D23A699CAE0}">
  <cacheSource type="worksheet">
    <worksheetSource name="Tabla_1"/>
  </cacheSource>
  <cacheFields count="9">
    <cacheField name="ID Pedido" numFmtId="0">
      <sharedItems containsSemiMixedTypes="0" containsString="0" containsNumber="1" containsInteger="1" minValue="1" maxValue="100"/>
    </cacheField>
    <cacheField name="Fecha" numFmtId="164">
      <sharedItems containsSemiMixedTypes="0" containsNonDate="0" containsDate="1" containsString="0" minDate="2025-01-01T00:00:00" maxDate="2025-01-23T00:00:00" count="10">
        <d v="2025-01-01T00:00:00"/>
        <d v="2025-01-02T00:00:00"/>
        <d v="2025-01-05T00:00:00"/>
        <d v="2025-01-07T00:00:00"/>
        <d v="2025-01-10T00:00:00"/>
        <d v="2025-01-12T00:00:00"/>
        <d v="2025-01-15T00:00:00"/>
        <d v="2025-01-18T00:00:00"/>
        <d v="2025-01-20T00:00:00"/>
        <d v="2025-01-22T00:00:00"/>
      </sharedItems>
    </cacheField>
    <cacheField name="Categoría" numFmtId="0">
      <sharedItems count="3">
        <s v="Electrónica"/>
        <s v="Hogar"/>
        <s v="Ropa"/>
      </sharedItems>
    </cacheField>
    <cacheField name="Producto" numFmtId="0">
      <sharedItems count="10">
        <s v="Auriculares"/>
        <s v="Cafetera"/>
        <s v="Camiseta"/>
        <s v="Mouse"/>
        <s v="Lámpara"/>
        <s v="Pantalón"/>
        <s v="Teclado"/>
        <s v="Espejo"/>
        <s v="Sudadera"/>
        <s v="Monitor"/>
      </sharedItems>
    </cacheField>
    <cacheField name="Unidades" numFmtId="0">
      <sharedItems containsSemiMixedTypes="0" containsString="0" containsNumber="1" containsInteger="1" minValue="1" maxValue="20"/>
    </cacheField>
    <cacheField name="Costo Unitario" numFmtId="0">
      <sharedItems containsSemiMixedTypes="0" containsString="0" containsNumber="1" containsInteger="1" minValue="10047" maxValue="49382"/>
    </cacheField>
    <cacheField name="Precio Venta" numFmtId="0">
      <sharedItems containsSemiMixedTypes="0" containsString="0" containsNumber="1" minValue="15070.5" maxValue="74073"/>
    </cacheField>
    <cacheField name="Comprador" numFmtId="0">
      <sharedItems count="3">
        <s v="Ana García"/>
        <s v="Luis Pérez"/>
        <s v="Marta Ruiz"/>
      </sharedItems>
    </cacheField>
    <cacheField name="TOTAL" numFmtId="0">
      <sharedItems containsSemiMixedTypes="0" containsString="0" containsNumber="1" minValue="16003.5" maxValue="13333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n v="14"/>
    <n v="29146"/>
    <n v="43719"/>
    <x v="0"/>
    <n v="612066"/>
  </r>
  <r>
    <n v="2"/>
    <x v="1"/>
    <x v="1"/>
    <x v="1"/>
    <n v="5"/>
    <n v="21183"/>
    <n v="31774.5"/>
    <x v="1"/>
    <n v="158872.5"/>
  </r>
  <r>
    <n v="3"/>
    <x v="2"/>
    <x v="2"/>
    <x v="2"/>
    <n v="18"/>
    <n v="11137"/>
    <n v="16705.5"/>
    <x v="2"/>
    <n v="300699"/>
  </r>
  <r>
    <n v="4"/>
    <x v="3"/>
    <x v="0"/>
    <x v="3"/>
    <n v="6"/>
    <n v="35278"/>
    <n v="52917"/>
    <x v="0"/>
    <n v="317502"/>
  </r>
  <r>
    <n v="5"/>
    <x v="4"/>
    <x v="1"/>
    <x v="4"/>
    <n v="3"/>
    <n v="30477"/>
    <n v="45715.5"/>
    <x v="1"/>
    <n v="137146.5"/>
  </r>
  <r>
    <n v="6"/>
    <x v="5"/>
    <x v="2"/>
    <x v="5"/>
    <n v="17"/>
    <n v="34773"/>
    <n v="52159.5"/>
    <x v="2"/>
    <n v="886711.5"/>
  </r>
  <r>
    <n v="7"/>
    <x v="6"/>
    <x v="0"/>
    <x v="6"/>
    <n v="11"/>
    <n v="33338"/>
    <n v="50007"/>
    <x v="0"/>
    <n v="550077"/>
  </r>
  <r>
    <n v="8"/>
    <x v="7"/>
    <x v="1"/>
    <x v="7"/>
    <n v="12"/>
    <n v="22058"/>
    <n v="33087"/>
    <x v="1"/>
    <n v="397044"/>
  </r>
  <r>
    <n v="9"/>
    <x v="8"/>
    <x v="2"/>
    <x v="8"/>
    <n v="16"/>
    <n v="12198"/>
    <n v="18297"/>
    <x v="2"/>
    <n v="292752"/>
  </r>
  <r>
    <n v="10"/>
    <x v="9"/>
    <x v="0"/>
    <x v="9"/>
    <n v="5"/>
    <n v="41777"/>
    <n v="62665.5"/>
    <x v="0"/>
    <n v="313327.5"/>
  </r>
  <r>
    <n v="11"/>
    <x v="0"/>
    <x v="0"/>
    <x v="0"/>
    <n v="20"/>
    <n v="23397"/>
    <n v="35095.5"/>
    <x v="1"/>
    <n v="701910"/>
  </r>
  <r>
    <n v="12"/>
    <x v="1"/>
    <x v="1"/>
    <x v="1"/>
    <n v="3"/>
    <n v="14241"/>
    <n v="21361.5"/>
    <x v="2"/>
    <n v="64084.5"/>
  </r>
  <r>
    <n v="13"/>
    <x v="2"/>
    <x v="2"/>
    <x v="2"/>
    <n v="20"/>
    <n v="16165"/>
    <n v="24247.5"/>
    <x v="0"/>
    <n v="484950"/>
  </r>
  <r>
    <n v="14"/>
    <x v="3"/>
    <x v="0"/>
    <x v="3"/>
    <n v="6"/>
    <n v="10608"/>
    <n v="15912"/>
    <x v="1"/>
    <n v="95472"/>
  </r>
  <r>
    <n v="15"/>
    <x v="4"/>
    <x v="1"/>
    <x v="4"/>
    <n v="13"/>
    <n v="29976"/>
    <n v="44964"/>
    <x v="2"/>
    <n v="584532"/>
  </r>
  <r>
    <n v="16"/>
    <x v="5"/>
    <x v="2"/>
    <x v="5"/>
    <n v="4"/>
    <n v="22250"/>
    <n v="33375"/>
    <x v="0"/>
    <n v="133500"/>
  </r>
  <r>
    <n v="17"/>
    <x v="6"/>
    <x v="0"/>
    <x v="6"/>
    <n v="15"/>
    <n v="36787"/>
    <n v="55180.5"/>
    <x v="1"/>
    <n v="827707.5"/>
  </r>
  <r>
    <n v="18"/>
    <x v="7"/>
    <x v="1"/>
    <x v="7"/>
    <n v="9"/>
    <n v="32511"/>
    <n v="48766.5"/>
    <x v="2"/>
    <n v="438898.5"/>
  </r>
  <r>
    <n v="19"/>
    <x v="8"/>
    <x v="2"/>
    <x v="8"/>
    <n v="19"/>
    <n v="25050"/>
    <n v="37575"/>
    <x v="0"/>
    <n v="713925"/>
  </r>
  <r>
    <n v="20"/>
    <x v="9"/>
    <x v="0"/>
    <x v="9"/>
    <n v="12"/>
    <n v="35677"/>
    <n v="53515.5"/>
    <x v="1"/>
    <n v="642186"/>
  </r>
  <r>
    <n v="21"/>
    <x v="0"/>
    <x v="0"/>
    <x v="0"/>
    <n v="17"/>
    <n v="28163"/>
    <n v="42244.5"/>
    <x v="2"/>
    <n v="718156.5"/>
  </r>
  <r>
    <n v="22"/>
    <x v="1"/>
    <x v="1"/>
    <x v="1"/>
    <n v="11"/>
    <n v="42908"/>
    <n v="64362"/>
    <x v="0"/>
    <n v="707982"/>
  </r>
  <r>
    <n v="23"/>
    <x v="2"/>
    <x v="2"/>
    <x v="2"/>
    <n v="2"/>
    <n v="40040"/>
    <n v="60060"/>
    <x v="1"/>
    <n v="120120"/>
  </r>
  <r>
    <n v="24"/>
    <x v="3"/>
    <x v="0"/>
    <x v="3"/>
    <n v="9"/>
    <n v="39337"/>
    <n v="59005.5"/>
    <x v="2"/>
    <n v="531049.5"/>
  </r>
  <r>
    <n v="25"/>
    <x v="4"/>
    <x v="1"/>
    <x v="4"/>
    <n v="1"/>
    <n v="42382"/>
    <n v="63573"/>
    <x v="0"/>
    <n v="63573"/>
  </r>
  <r>
    <n v="26"/>
    <x v="5"/>
    <x v="2"/>
    <x v="5"/>
    <n v="1"/>
    <n v="10669"/>
    <n v="16003.5"/>
    <x v="1"/>
    <n v="16003.5"/>
  </r>
  <r>
    <n v="27"/>
    <x v="6"/>
    <x v="0"/>
    <x v="6"/>
    <n v="18"/>
    <n v="13644"/>
    <n v="20466"/>
    <x v="2"/>
    <n v="368388"/>
  </r>
  <r>
    <n v="28"/>
    <x v="7"/>
    <x v="1"/>
    <x v="7"/>
    <n v="1"/>
    <n v="22538"/>
    <n v="33807"/>
    <x v="0"/>
    <n v="33807"/>
  </r>
  <r>
    <n v="29"/>
    <x v="8"/>
    <x v="2"/>
    <x v="8"/>
    <n v="2"/>
    <n v="20906"/>
    <n v="31359"/>
    <x v="1"/>
    <n v="62718"/>
  </r>
  <r>
    <n v="30"/>
    <x v="9"/>
    <x v="0"/>
    <x v="9"/>
    <n v="19"/>
    <n v="41869"/>
    <n v="62803.5"/>
    <x v="2"/>
    <n v="1193266.5"/>
  </r>
  <r>
    <n v="31"/>
    <x v="0"/>
    <x v="0"/>
    <x v="0"/>
    <n v="20"/>
    <n v="33977"/>
    <n v="50965.5"/>
    <x v="0"/>
    <n v="1019310"/>
  </r>
  <r>
    <n v="32"/>
    <x v="1"/>
    <x v="1"/>
    <x v="1"/>
    <n v="2"/>
    <n v="17957"/>
    <n v="26935.5"/>
    <x v="1"/>
    <n v="53871"/>
  </r>
  <r>
    <n v="33"/>
    <x v="2"/>
    <x v="2"/>
    <x v="2"/>
    <n v="2"/>
    <n v="23367"/>
    <n v="35050.5"/>
    <x v="2"/>
    <n v="70101"/>
  </r>
  <r>
    <n v="34"/>
    <x v="3"/>
    <x v="0"/>
    <x v="3"/>
    <n v="20"/>
    <n v="41446"/>
    <n v="62169"/>
    <x v="0"/>
    <n v="1243380"/>
  </r>
  <r>
    <n v="35"/>
    <x v="4"/>
    <x v="1"/>
    <x v="4"/>
    <n v="2"/>
    <n v="41315"/>
    <n v="61972.5"/>
    <x v="1"/>
    <n v="123945"/>
  </r>
  <r>
    <n v="36"/>
    <x v="5"/>
    <x v="2"/>
    <x v="5"/>
    <n v="9"/>
    <n v="41082"/>
    <n v="61623"/>
    <x v="2"/>
    <n v="554607"/>
  </r>
  <r>
    <n v="37"/>
    <x v="6"/>
    <x v="0"/>
    <x v="6"/>
    <n v="5"/>
    <n v="42995"/>
    <n v="64492.5"/>
    <x v="0"/>
    <n v="322462.5"/>
  </r>
  <r>
    <n v="38"/>
    <x v="7"/>
    <x v="1"/>
    <x v="7"/>
    <n v="20"/>
    <n v="23666"/>
    <n v="35499"/>
    <x v="1"/>
    <n v="709980"/>
  </r>
  <r>
    <n v="39"/>
    <x v="8"/>
    <x v="2"/>
    <x v="8"/>
    <n v="16"/>
    <n v="22939"/>
    <n v="34408.5"/>
    <x v="2"/>
    <n v="550536"/>
  </r>
  <r>
    <n v="40"/>
    <x v="9"/>
    <x v="0"/>
    <x v="9"/>
    <n v="14"/>
    <n v="13299"/>
    <n v="19948.5"/>
    <x v="0"/>
    <n v="279279"/>
  </r>
  <r>
    <n v="41"/>
    <x v="0"/>
    <x v="0"/>
    <x v="0"/>
    <n v="10"/>
    <n v="17423"/>
    <n v="26134.5"/>
    <x v="1"/>
    <n v="261345"/>
  </r>
  <r>
    <n v="42"/>
    <x v="1"/>
    <x v="1"/>
    <x v="1"/>
    <n v="12"/>
    <n v="26398"/>
    <n v="39597"/>
    <x v="2"/>
    <n v="475164"/>
  </r>
  <r>
    <n v="43"/>
    <x v="2"/>
    <x v="2"/>
    <x v="2"/>
    <n v="19"/>
    <n v="23513"/>
    <n v="35269.5"/>
    <x v="0"/>
    <n v="670120.5"/>
  </r>
  <r>
    <n v="44"/>
    <x v="3"/>
    <x v="0"/>
    <x v="3"/>
    <n v="10"/>
    <n v="10064"/>
    <n v="15096"/>
    <x v="1"/>
    <n v="150960"/>
  </r>
  <r>
    <n v="45"/>
    <x v="4"/>
    <x v="1"/>
    <x v="4"/>
    <n v="1"/>
    <n v="25406"/>
    <n v="38109"/>
    <x v="2"/>
    <n v="38109"/>
  </r>
  <r>
    <n v="46"/>
    <x v="5"/>
    <x v="2"/>
    <x v="5"/>
    <n v="9"/>
    <n v="23574"/>
    <n v="35361"/>
    <x v="0"/>
    <n v="318249"/>
  </r>
  <r>
    <n v="47"/>
    <x v="6"/>
    <x v="0"/>
    <x v="6"/>
    <n v="3"/>
    <n v="33320"/>
    <n v="49980"/>
    <x v="1"/>
    <n v="149940"/>
  </r>
  <r>
    <n v="48"/>
    <x v="7"/>
    <x v="1"/>
    <x v="7"/>
    <n v="1"/>
    <n v="29888"/>
    <n v="44832"/>
    <x v="2"/>
    <n v="44832"/>
  </r>
  <r>
    <n v="49"/>
    <x v="8"/>
    <x v="2"/>
    <x v="8"/>
    <n v="17"/>
    <n v="32361"/>
    <n v="48541.5"/>
    <x v="0"/>
    <n v="825205.5"/>
  </r>
  <r>
    <n v="50"/>
    <x v="9"/>
    <x v="0"/>
    <x v="9"/>
    <n v="12"/>
    <n v="10047"/>
    <n v="15070.5"/>
    <x v="1"/>
    <n v="180846"/>
  </r>
  <r>
    <n v="51"/>
    <x v="0"/>
    <x v="0"/>
    <x v="0"/>
    <n v="7"/>
    <n v="29970"/>
    <n v="44955"/>
    <x v="2"/>
    <n v="314685"/>
  </r>
  <r>
    <n v="52"/>
    <x v="1"/>
    <x v="1"/>
    <x v="1"/>
    <n v="16"/>
    <n v="24661"/>
    <n v="36991.5"/>
    <x v="0"/>
    <n v="591864"/>
  </r>
  <r>
    <n v="53"/>
    <x v="2"/>
    <x v="2"/>
    <x v="2"/>
    <n v="15"/>
    <n v="39997"/>
    <n v="59995.5"/>
    <x v="1"/>
    <n v="899932.5"/>
  </r>
  <r>
    <n v="54"/>
    <x v="3"/>
    <x v="0"/>
    <x v="3"/>
    <n v="3"/>
    <n v="37424"/>
    <n v="56136"/>
    <x v="2"/>
    <n v="168408"/>
  </r>
  <r>
    <n v="55"/>
    <x v="4"/>
    <x v="1"/>
    <x v="4"/>
    <n v="8"/>
    <n v="37127"/>
    <n v="55690.5"/>
    <x v="0"/>
    <n v="445524"/>
  </r>
  <r>
    <n v="56"/>
    <x v="5"/>
    <x v="2"/>
    <x v="5"/>
    <n v="13"/>
    <n v="16457"/>
    <n v="24685.5"/>
    <x v="1"/>
    <n v="320911.5"/>
  </r>
  <r>
    <n v="57"/>
    <x v="6"/>
    <x v="0"/>
    <x v="6"/>
    <n v="10"/>
    <n v="21229"/>
    <n v="31843.5"/>
    <x v="2"/>
    <n v="318435"/>
  </r>
  <r>
    <n v="58"/>
    <x v="7"/>
    <x v="1"/>
    <x v="7"/>
    <n v="12"/>
    <n v="31114"/>
    <n v="46671"/>
    <x v="0"/>
    <n v="560052"/>
  </r>
  <r>
    <n v="59"/>
    <x v="8"/>
    <x v="2"/>
    <x v="8"/>
    <n v="6"/>
    <n v="33778"/>
    <n v="50667"/>
    <x v="1"/>
    <n v="304002"/>
  </r>
  <r>
    <n v="60"/>
    <x v="9"/>
    <x v="0"/>
    <x v="9"/>
    <n v="1"/>
    <n v="32388"/>
    <n v="48582"/>
    <x v="2"/>
    <n v="48582"/>
  </r>
  <r>
    <n v="61"/>
    <x v="0"/>
    <x v="0"/>
    <x v="0"/>
    <n v="20"/>
    <n v="37687"/>
    <n v="56530.5"/>
    <x v="0"/>
    <n v="1130610"/>
  </r>
  <r>
    <n v="62"/>
    <x v="1"/>
    <x v="1"/>
    <x v="1"/>
    <n v="5"/>
    <n v="29346"/>
    <n v="44019"/>
    <x v="1"/>
    <n v="220095"/>
  </r>
  <r>
    <n v="63"/>
    <x v="2"/>
    <x v="2"/>
    <x v="2"/>
    <n v="20"/>
    <n v="21807"/>
    <n v="32710.5"/>
    <x v="2"/>
    <n v="654210"/>
  </r>
  <r>
    <n v="64"/>
    <x v="3"/>
    <x v="0"/>
    <x v="3"/>
    <n v="10"/>
    <n v="21817"/>
    <n v="32725.5"/>
    <x v="0"/>
    <n v="327255"/>
  </r>
  <r>
    <n v="65"/>
    <x v="4"/>
    <x v="1"/>
    <x v="4"/>
    <n v="19"/>
    <n v="39496"/>
    <n v="59244"/>
    <x v="1"/>
    <n v="1125636"/>
  </r>
  <r>
    <n v="66"/>
    <x v="5"/>
    <x v="2"/>
    <x v="5"/>
    <n v="10"/>
    <n v="24855"/>
    <n v="37282.5"/>
    <x v="2"/>
    <n v="372825"/>
  </r>
  <r>
    <n v="67"/>
    <x v="6"/>
    <x v="0"/>
    <x v="6"/>
    <n v="15"/>
    <n v="47825"/>
    <n v="71737.5"/>
    <x v="0"/>
    <n v="1076062.5"/>
  </r>
  <r>
    <n v="68"/>
    <x v="7"/>
    <x v="1"/>
    <x v="7"/>
    <n v="1"/>
    <n v="46115"/>
    <n v="69172.5"/>
    <x v="1"/>
    <n v="69172.5"/>
  </r>
  <r>
    <n v="69"/>
    <x v="8"/>
    <x v="2"/>
    <x v="8"/>
    <n v="12"/>
    <n v="22533"/>
    <n v="33799.5"/>
    <x v="2"/>
    <n v="405594"/>
  </r>
  <r>
    <n v="70"/>
    <x v="9"/>
    <x v="0"/>
    <x v="9"/>
    <n v="6"/>
    <n v="26317"/>
    <n v="39475.5"/>
    <x v="0"/>
    <n v="236853"/>
  </r>
  <r>
    <n v="71"/>
    <x v="0"/>
    <x v="0"/>
    <x v="0"/>
    <n v="16"/>
    <n v="26432"/>
    <n v="39648"/>
    <x v="1"/>
    <n v="634368"/>
  </r>
  <r>
    <n v="72"/>
    <x v="1"/>
    <x v="1"/>
    <x v="1"/>
    <n v="1"/>
    <n v="42783"/>
    <n v="64174.5"/>
    <x v="2"/>
    <n v="64174.5"/>
  </r>
  <r>
    <n v="73"/>
    <x v="2"/>
    <x v="2"/>
    <x v="2"/>
    <n v="12"/>
    <n v="19926"/>
    <n v="29889"/>
    <x v="0"/>
    <n v="358668"/>
  </r>
  <r>
    <n v="74"/>
    <x v="3"/>
    <x v="0"/>
    <x v="3"/>
    <n v="14"/>
    <n v="14355"/>
    <n v="21532.5"/>
    <x v="1"/>
    <n v="301455"/>
  </r>
  <r>
    <n v="75"/>
    <x v="4"/>
    <x v="1"/>
    <x v="4"/>
    <n v="13"/>
    <n v="46419"/>
    <n v="69628.5"/>
    <x v="2"/>
    <n v="905170.5"/>
  </r>
  <r>
    <n v="76"/>
    <x v="5"/>
    <x v="2"/>
    <x v="5"/>
    <n v="20"/>
    <n v="17568"/>
    <n v="26352"/>
    <x v="0"/>
    <n v="527040"/>
  </r>
  <r>
    <n v="77"/>
    <x v="6"/>
    <x v="0"/>
    <x v="6"/>
    <n v="9"/>
    <n v="24613"/>
    <n v="36919.5"/>
    <x v="1"/>
    <n v="332275.5"/>
  </r>
  <r>
    <n v="78"/>
    <x v="7"/>
    <x v="1"/>
    <x v="7"/>
    <n v="15"/>
    <n v="45696"/>
    <n v="68544"/>
    <x v="2"/>
    <n v="1028160"/>
  </r>
  <r>
    <n v="79"/>
    <x v="8"/>
    <x v="2"/>
    <x v="8"/>
    <n v="19"/>
    <n v="44730"/>
    <n v="67095"/>
    <x v="0"/>
    <n v="1274805"/>
  </r>
  <r>
    <n v="80"/>
    <x v="9"/>
    <x v="0"/>
    <x v="9"/>
    <n v="6"/>
    <n v="30386"/>
    <n v="45579"/>
    <x v="1"/>
    <n v="273474"/>
  </r>
  <r>
    <n v="81"/>
    <x v="0"/>
    <x v="0"/>
    <x v="0"/>
    <n v="2"/>
    <n v="32011"/>
    <n v="48016.5"/>
    <x v="2"/>
    <n v="96033"/>
  </r>
  <r>
    <n v="82"/>
    <x v="1"/>
    <x v="1"/>
    <x v="1"/>
    <n v="5"/>
    <n v="43152"/>
    <n v="64728"/>
    <x v="0"/>
    <n v="323640"/>
  </r>
  <r>
    <n v="83"/>
    <x v="2"/>
    <x v="2"/>
    <x v="2"/>
    <n v="3"/>
    <n v="31300"/>
    <n v="46950"/>
    <x v="1"/>
    <n v="140850"/>
  </r>
  <r>
    <n v="84"/>
    <x v="3"/>
    <x v="0"/>
    <x v="3"/>
    <n v="13"/>
    <n v="13701"/>
    <n v="20551.5"/>
    <x v="2"/>
    <n v="267169.5"/>
  </r>
  <r>
    <n v="85"/>
    <x v="4"/>
    <x v="1"/>
    <x v="4"/>
    <n v="18"/>
    <n v="41167"/>
    <n v="61750.5"/>
    <x v="0"/>
    <n v="1111509"/>
  </r>
  <r>
    <n v="86"/>
    <x v="5"/>
    <x v="2"/>
    <x v="5"/>
    <n v="20"/>
    <n v="16366"/>
    <n v="24549"/>
    <x v="1"/>
    <n v="490980"/>
  </r>
  <r>
    <n v="87"/>
    <x v="6"/>
    <x v="0"/>
    <x v="6"/>
    <n v="16"/>
    <n v="27724"/>
    <n v="41586"/>
    <x v="2"/>
    <n v="665376"/>
  </r>
  <r>
    <n v="88"/>
    <x v="7"/>
    <x v="1"/>
    <x v="7"/>
    <n v="7"/>
    <n v="46997"/>
    <n v="70495.5"/>
    <x v="0"/>
    <n v="493468.5"/>
  </r>
  <r>
    <n v="89"/>
    <x v="8"/>
    <x v="2"/>
    <x v="8"/>
    <n v="7"/>
    <n v="22764"/>
    <n v="34146"/>
    <x v="1"/>
    <n v="239022"/>
  </r>
  <r>
    <n v="90"/>
    <x v="9"/>
    <x v="0"/>
    <x v="9"/>
    <n v="12"/>
    <n v="18576"/>
    <n v="27864"/>
    <x v="2"/>
    <n v="334368"/>
  </r>
  <r>
    <n v="91"/>
    <x v="0"/>
    <x v="0"/>
    <x v="0"/>
    <n v="9"/>
    <n v="36522"/>
    <n v="54783"/>
    <x v="0"/>
    <n v="493047"/>
  </r>
  <r>
    <n v="92"/>
    <x v="1"/>
    <x v="1"/>
    <x v="1"/>
    <n v="9"/>
    <n v="10750"/>
    <n v="16125"/>
    <x v="1"/>
    <n v="145125"/>
  </r>
  <r>
    <n v="93"/>
    <x v="2"/>
    <x v="2"/>
    <x v="2"/>
    <n v="10"/>
    <n v="20794"/>
    <n v="31191"/>
    <x v="2"/>
    <n v="311910"/>
  </r>
  <r>
    <n v="94"/>
    <x v="3"/>
    <x v="0"/>
    <x v="3"/>
    <n v="18"/>
    <n v="49382"/>
    <n v="74073"/>
    <x v="0"/>
    <n v="1333314"/>
  </r>
  <r>
    <n v="95"/>
    <x v="4"/>
    <x v="1"/>
    <x v="4"/>
    <n v="6"/>
    <n v="29638"/>
    <n v="44457"/>
    <x v="1"/>
    <n v="266742"/>
  </r>
  <r>
    <n v="96"/>
    <x v="5"/>
    <x v="2"/>
    <x v="5"/>
    <n v="6"/>
    <n v="38485"/>
    <n v="57727.5"/>
    <x v="2"/>
    <n v="346365"/>
  </r>
  <r>
    <n v="97"/>
    <x v="6"/>
    <x v="0"/>
    <x v="6"/>
    <n v="14"/>
    <n v="28488"/>
    <n v="42732"/>
    <x v="0"/>
    <n v="598248"/>
  </r>
  <r>
    <n v="98"/>
    <x v="7"/>
    <x v="1"/>
    <x v="7"/>
    <n v="8"/>
    <n v="43933"/>
    <n v="65899.5"/>
    <x v="1"/>
    <n v="527196"/>
  </r>
  <r>
    <n v="99"/>
    <x v="8"/>
    <x v="2"/>
    <x v="8"/>
    <n v="10"/>
    <n v="47851"/>
    <n v="71776.5"/>
    <x v="2"/>
    <n v="717765"/>
  </r>
  <r>
    <n v="100"/>
    <x v="9"/>
    <x v="0"/>
    <x v="9"/>
    <n v="8"/>
    <n v="18819"/>
    <n v="28228.5"/>
    <x v="0"/>
    <n v="2258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EC9EF-AAAC-40E4-BC47-EECFEA0F10DC}" name="TablaDinámica10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K46:L50" firstHeaderRow="1" firstDataRow="1" firstDataCol="1" rowPageCount="1" colPageCount="1"/>
  <pivotFields count="9">
    <pivotField compact="0" outline="0" showAll="0"/>
    <pivotField axis="axisRow" compact="0" numFmtId="16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compact="0" outline="0" multipleItemSelectionAllowed="1" showAll="0">
      <items count="4">
        <item h="1" x="0"/>
        <item h="1"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4">
    <i>
      <x v="2"/>
    </i>
    <i>
      <x v="5"/>
    </i>
    <i>
      <x v="8"/>
    </i>
    <i t="grand">
      <x/>
    </i>
  </rowItems>
  <colItems count="1">
    <i/>
  </colItems>
  <pageFields count="1">
    <pageField fld="2" hier="-1"/>
  </pageFields>
  <dataFields count="1">
    <dataField name="Promedio de TOTAL" fld="8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FAB93-C1B7-4D6E-871C-16901E1DFA8A}" name="TablaDinámica9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K22:L27" firstHeaderRow="1" firstDataRow="1" firstDataCol="1" rowPageCount="2" colPageCount="1"/>
  <pivotFields count="9">
    <pivotField compact="0" outline="0" showAll="0"/>
    <pivotField axis="axisRow" compact="0" numFmtId="16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dataField="1" compact="0" outline="0" showAll="0"/>
  </pivotFields>
  <rowFields count="1">
    <field x="1"/>
  </rowFields>
  <rowItems count="5">
    <i>
      <x/>
    </i>
    <i>
      <x v="3"/>
    </i>
    <i>
      <x v="6"/>
    </i>
    <i>
      <x v="9"/>
    </i>
    <i t="grand">
      <x/>
    </i>
  </rowItems>
  <colItems count="1">
    <i/>
  </colItems>
  <pageFields count="2">
    <pageField fld="2" hier="-1"/>
    <pageField fld="7" hier="-1"/>
  </pageFields>
  <dataFields count="1">
    <dataField name="Promedio de TOTAL" fld="8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51345-6BD5-4C21-B77F-1CAB1774BA61}" name="TablaDinámica6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K72:L76" firstHeaderRow="1" firstDataRow="1" firstDataCol="1" rowPageCount="1" colPageCount="1"/>
  <pivotFields count="9">
    <pivotField compact="0" outline="0" showAll="0"/>
    <pivotField compact="0" numFmtId="164" outline="0" showAll="0"/>
    <pivotField compact="0" outline="0" showAll="0"/>
    <pivotField axis="axisPage" compact="0" outline="0" multipleItemSelectionAllowed="1" showAll="0">
      <items count="11">
        <item h="1" x="0"/>
        <item h="1" x="1"/>
        <item h="1" x="2"/>
        <item h="1" x="7"/>
        <item h="1" x="4"/>
        <item h="1" x="9"/>
        <item x="3"/>
        <item h="1" x="5"/>
        <item h="1" x="8"/>
        <item h="1" x="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pageFields count="1">
    <pageField fld="3" hier="-1"/>
  </pageFields>
  <dataFields count="1">
    <dataField name="Promedio de TOTAL" fld="8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87EC7-CB2E-4C24-A0D9-D25501E51C2E}" name="TablaDinámica3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Comprador">
  <location ref="K2:L6" firstHeaderRow="1" firstDataRow="1" firstDataCol="1"/>
  <pivotFields count="9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" fld="8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32D81-1208-4E53-9BDF-3B96AB1E0684}" name="Tabla diná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4:B8" firstHeaderRow="1" firstDataRow="1" firstDataCol="1" rowPageCount="1" colPageCount="1"/>
  <pivotFields count="9">
    <pivotField compact="0" outline="0" showAll="0"/>
    <pivotField compact="0" numFmtId="164" outline="0" showAll="0"/>
    <pivotField compact="0" outline="0" showAll="0"/>
    <pivotField axis="axisPage" compact="0" outline="0" multipleItemSelectionAllowed="1" showAll="0">
      <items count="11">
        <item h="1" x="0"/>
        <item h="1" x="1"/>
        <item h="1" x="2"/>
        <item h="1" x="7"/>
        <item h="1" x="4"/>
        <item h="1" x="9"/>
        <item x="3"/>
        <item h="1" x="5"/>
        <item h="1" x="8"/>
        <item h="1" x="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pageFields count="1">
    <pageField fld="3" hier="-1"/>
  </pageFields>
  <dataFields count="1">
    <dataField name="Promedio de TOTAL" fld="8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EA1EE-DA3F-4087-A0C3-EA5B9C4FC265}" name="Tabla dinámica2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4:B8" firstHeaderRow="1" firstDataRow="1" firstDataCol="1" rowPageCount="1" colPageCount="1"/>
  <pivotFields count="9">
    <pivotField compact="0" outline="0" showAll="0"/>
    <pivotField axis="axisRow" compact="0" numFmtId="16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compact="0" outline="0" multipleItemSelectionAllowed="1" showAll="0">
      <items count="4">
        <item h="1" x="0"/>
        <item h="1"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4">
    <i>
      <x v="2"/>
    </i>
    <i>
      <x v="5"/>
    </i>
    <i>
      <x v="8"/>
    </i>
    <i t="grand">
      <x/>
    </i>
  </rowItems>
  <colItems count="1">
    <i/>
  </colItems>
  <pageFields count="1">
    <pageField fld="2" hier="-1"/>
  </pageFields>
  <dataFields count="1">
    <dataField name="Promedio de TOTAL" fld="8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375C1-6D30-45E1-83B0-FC767714448B}" name="Tabla dinámica3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A5:B10" firstHeaderRow="1" firstDataRow="1" firstDataCol="1" rowPageCount="2" colPageCount="1"/>
  <pivotFields count="9">
    <pivotField compact="0" outline="0" showAll="0"/>
    <pivotField axis="axisRow" compact="0" numFmtId="16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dataField="1" compact="0" outline="0" showAll="0"/>
  </pivotFields>
  <rowFields count="1">
    <field x="1"/>
  </rowFields>
  <rowItems count="5">
    <i>
      <x/>
    </i>
    <i>
      <x v="3"/>
    </i>
    <i>
      <x v="6"/>
    </i>
    <i>
      <x v="9"/>
    </i>
    <i t="grand">
      <x/>
    </i>
  </rowItems>
  <colItems count="1">
    <i/>
  </colItems>
  <pageFields count="2">
    <pageField fld="2" hier="-1"/>
    <pageField fld="7" hier="-1"/>
  </pageFields>
  <dataFields count="1">
    <dataField name="Promedio de TOTAL" fld="8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I101">
  <tableColumns count="9">
    <tableColumn id="1" xr3:uid="{00000000-0010-0000-0000-000001000000}" name="ID Pedido"/>
    <tableColumn id="2" xr3:uid="{00000000-0010-0000-0000-000002000000}" name="Fecha"/>
    <tableColumn id="3" xr3:uid="{00000000-0010-0000-0000-000003000000}" name="Categoría"/>
    <tableColumn id="4" xr3:uid="{00000000-0010-0000-0000-000004000000}" name="Producto"/>
    <tableColumn id="5" xr3:uid="{00000000-0010-0000-0000-000005000000}" name="Unidades"/>
    <tableColumn id="6" xr3:uid="{00000000-0010-0000-0000-000006000000}" name="Costo Unitario"/>
    <tableColumn id="7" xr3:uid="{00000000-0010-0000-0000-000007000000}" name="Precio Venta">
      <calculatedColumnFormula>F2*1.5</calculatedColumnFormula>
    </tableColumn>
    <tableColumn id="8" xr3:uid="{00000000-0010-0000-0000-000008000000}" name="Comprador"/>
    <tableColumn id="9" xr3:uid="{A61DC1C7-4E96-4799-9799-35AF8D7E839C}" name="TOTAL" dataDxfId="1">
      <calculatedColumnFormula>E2*G2</calculatedColumnFormula>
    </tableColumn>
  </tableColumns>
  <tableStyleInfo name="TableStyleLight1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CF17F0-51EB-44FD-B4E2-875034C41CB3}" name="Tabla2" displayName="Tabla2" ref="A3:I7" totalsRowShown="0">
  <autoFilter ref="A3:I7" xr:uid="{43CF17F0-51EB-44FD-B4E2-875034C41CB3}"/>
  <tableColumns count="9">
    <tableColumn id="1" xr3:uid="{48DA6347-1240-4A13-A656-713C2351812B}" name="ID Pedido"/>
    <tableColumn id="2" xr3:uid="{20AAF6D3-9047-46C6-B298-AB297B29C4C8}" name="Fecha" dataDxfId="0"/>
    <tableColumn id="3" xr3:uid="{D360BF11-87AB-43F9-A433-5C0E4BB1DB70}" name="Categoría"/>
    <tableColumn id="4" xr3:uid="{70E5C316-A823-4DFC-8F77-6E4BF923605D}" name="Producto"/>
    <tableColumn id="5" xr3:uid="{34AC3F68-6B8D-4180-9190-6334C1725097}" name="Unidades"/>
    <tableColumn id="6" xr3:uid="{D75211E6-19DA-4429-94D1-9A63963931B4}" name="Costo Unitario"/>
    <tableColumn id="7" xr3:uid="{DA4B7104-421E-4D8F-97D0-5C68B7D4DC56}" name="Precio Venta"/>
    <tableColumn id="8" xr3:uid="{7D0641AA-68F1-4DB1-8A3E-772E32FE775B}" name="Comprador"/>
    <tableColumn id="9" xr3:uid="{98090517-2DC7-4694-A0BB-E7BE0C4C370F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1"/>
  <sheetViews>
    <sheetView tabSelected="1" topLeftCell="B1" zoomScale="48" zoomScaleNormal="48" workbookViewId="0">
      <pane ySplit="1" topLeftCell="A57" activePane="bottomLeft" state="frozen"/>
      <selection pane="bottomLeft" activeCell="L37" sqref="L37"/>
    </sheetView>
  </sheetViews>
  <sheetFormatPr baseColWidth="10" defaultColWidth="12.6328125" defaultRowHeight="15.75" customHeight="1" x14ac:dyDescent="0.25"/>
  <cols>
    <col min="1" max="1" width="15.90625" customWidth="1"/>
    <col min="2" max="2" width="13.26953125" customWidth="1"/>
    <col min="3" max="3" width="16" customWidth="1"/>
    <col min="5" max="5" width="15.6328125" customWidth="1"/>
    <col min="6" max="6" width="19.36328125" customWidth="1"/>
    <col min="7" max="7" width="18.08984375" customWidth="1"/>
    <col min="8" max="8" width="15.90625" customWidth="1"/>
    <col min="10" max="10" width="26" customWidth="1"/>
    <col min="11" max="11" width="38.6328125" customWidth="1"/>
    <col min="12" max="12" width="23.7265625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25</v>
      </c>
      <c r="I1" s="5" t="s">
        <v>23</v>
      </c>
      <c r="K1" s="9" t="s">
        <v>27</v>
      </c>
      <c r="L1" s="5"/>
    </row>
    <row r="2" spans="1:12" ht="22.5" customHeight="1" x14ac:dyDescent="0.25">
      <c r="A2" s="2">
        <v>1</v>
      </c>
      <c r="B2" s="3">
        <v>45658</v>
      </c>
      <c r="C2" s="2" t="s">
        <v>7</v>
      </c>
      <c r="D2" s="2" t="s">
        <v>8</v>
      </c>
      <c r="E2" s="2">
        <v>14</v>
      </c>
      <c r="F2" s="2">
        <v>29146</v>
      </c>
      <c r="G2" s="2">
        <f>F2*1.5</f>
        <v>43719</v>
      </c>
      <c r="H2" s="2" t="s">
        <v>9</v>
      </c>
      <c r="I2">
        <f t="shared" ref="I2:I33" si="0">E2*G2</f>
        <v>612066</v>
      </c>
      <c r="K2" s="7" t="s">
        <v>25</v>
      </c>
      <c r="L2" t="s">
        <v>26</v>
      </c>
    </row>
    <row r="3" spans="1:12" ht="22.5" customHeight="1" x14ac:dyDescent="0.25">
      <c r="A3" s="2">
        <v>2</v>
      </c>
      <c r="B3" s="3">
        <v>45659</v>
      </c>
      <c r="C3" s="2" t="s">
        <v>10</v>
      </c>
      <c r="D3" s="2" t="s">
        <v>11</v>
      </c>
      <c r="E3" s="2">
        <v>5</v>
      </c>
      <c r="F3" s="2">
        <v>21183</v>
      </c>
      <c r="G3" s="2">
        <f t="shared" ref="G3:G66" si="1">F3*1.5</f>
        <v>31774.5</v>
      </c>
      <c r="H3" s="2" t="s">
        <v>12</v>
      </c>
      <c r="I3">
        <f t="shared" si="0"/>
        <v>158872.5</v>
      </c>
      <c r="K3" s="8" t="s">
        <v>15</v>
      </c>
      <c r="L3" s="6">
        <v>14131117.5</v>
      </c>
    </row>
    <row r="4" spans="1:12" ht="22.5" customHeight="1" x14ac:dyDescent="0.25">
      <c r="A4" s="2">
        <v>3</v>
      </c>
      <c r="B4" s="3">
        <v>45662</v>
      </c>
      <c r="C4" s="2" t="s">
        <v>13</v>
      </c>
      <c r="D4" s="2" t="s">
        <v>14</v>
      </c>
      <c r="E4" s="2">
        <v>18</v>
      </c>
      <c r="F4" s="2">
        <v>11137</v>
      </c>
      <c r="G4" s="2">
        <f t="shared" si="1"/>
        <v>16705.5</v>
      </c>
      <c r="H4" s="2" t="s">
        <v>15</v>
      </c>
      <c r="I4">
        <f t="shared" si="0"/>
        <v>300699</v>
      </c>
      <c r="K4" s="8" t="s">
        <v>9</v>
      </c>
      <c r="L4" s="6">
        <v>19716504</v>
      </c>
    </row>
    <row r="5" spans="1:12" ht="22.5" customHeight="1" x14ac:dyDescent="0.25">
      <c r="A5" s="2">
        <v>4</v>
      </c>
      <c r="B5" s="3">
        <v>45664</v>
      </c>
      <c r="C5" s="2" t="s">
        <v>7</v>
      </c>
      <c r="D5" s="2" t="s">
        <v>16</v>
      </c>
      <c r="E5" s="2">
        <v>6</v>
      </c>
      <c r="F5" s="2">
        <v>35278</v>
      </c>
      <c r="G5" s="2">
        <f t="shared" si="1"/>
        <v>52917</v>
      </c>
      <c r="H5" s="2" t="s">
        <v>9</v>
      </c>
      <c r="I5">
        <f t="shared" si="0"/>
        <v>317502</v>
      </c>
      <c r="K5" s="8" t="s">
        <v>12</v>
      </c>
      <c r="L5" s="6">
        <v>11081304</v>
      </c>
    </row>
    <row r="6" spans="1:12" ht="22.5" customHeight="1" x14ac:dyDescent="0.25">
      <c r="A6" s="2">
        <v>5</v>
      </c>
      <c r="B6" s="3">
        <v>45667</v>
      </c>
      <c r="C6" s="2" t="s">
        <v>10</v>
      </c>
      <c r="D6" s="2" t="s">
        <v>17</v>
      </c>
      <c r="E6" s="2">
        <v>3</v>
      </c>
      <c r="F6" s="2">
        <v>30477</v>
      </c>
      <c r="G6" s="2">
        <f t="shared" si="1"/>
        <v>45715.5</v>
      </c>
      <c r="H6" s="2" t="s">
        <v>12</v>
      </c>
      <c r="I6">
        <f t="shared" si="0"/>
        <v>137146.5</v>
      </c>
      <c r="K6" s="8" t="s">
        <v>24</v>
      </c>
      <c r="L6" s="6">
        <v>44928925.5</v>
      </c>
    </row>
    <row r="7" spans="1:12" ht="22.5" customHeight="1" x14ac:dyDescent="0.25">
      <c r="A7" s="2">
        <v>6</v>
      </c>
      <c r="B7" s="3">
        <v>45669</v>
      </c>
      <c r="C7" s="2" t="s">
        <v>13</v>
      </c>
      <c r="D7" s="2" t="s">
        <v>18</v>
      </c>
      <c r="E7" s="2">
        <v>17</v>
      </c>
      <c r="F7" s="2">
        <v>34773</v>
      </c>
      <c r="G7" s="2">
        <f t="shared" si="1"/>
        <v>52159.5</v>
      </c>
      <c r="H7" s="2" t="s">
        <v>15</v>
      </c>
      <c r="I7">
        <f t="shared" si="0"/>
        <v>886711.5</v>
      </c>
    </row>
    <row r="8" spans="1:12" ht="22.5" customHeight="1" x14ac:dyDescent="0.25">
      <c r="A8" s="2">
        <v>7</v>
      </c>
      <c r="B8" s="3">
        <v>45672</v>
      </c>
      <c r="C8" s="2" t="s">
        <v>7</v>
      </c>
      <c r="D8" s="2" t="s">
        <v>19</v>
      </c>
      <c r="E8" s="2">
        <v>11</v>
      </c>
      <c r="F8" s="2">
        <v>33338</v>
      </c>
      <c r="G8" s="2">
        <f t="shared" si="1"/>
        <v>50007</v>
      </c>
      <c r="H8" s="2" t="s">
        <v>9</v>
      </c>
      <c r="I8">
        <f t="shared" si="0"/>
        <v>550077</v>
      </c>
    </row>
    <row r="9" spans="1:12" ht="22.5" customHeight="1" x14ac:dyDescent="0.25">
      <c r="A9" s="2">
        <v>8</v>
      </c>
      <c r="B9" s="3">
        <v>45675</v>
      </c>
      <c r="C9" s="2" t="s">
        <v>10</v>
      </c>
      <c r="D9" s="2" t="s">
        <v>20</v>
      </c>
      <c r="E9" s="2">
        <v>12</v>
      </c>
      <c r="F9" s="2">
        <v>22058</v>
      </c>
      <c r="G9" s="2">
        <f t="shared" si="1"/>
        <v>33087</v>
      </c>
      <c r="H9" s="2" t="s">
        <v>12</v>
      </c>
      <c r="I9">
        <f t="shared" si="0"/>
        <v>397044</v>
      </c>
    </row>
    <row r="10" spans="1:12" ht="22.5" customHeight="1" x14ac:dyDescent="0.25">
      <c r="A10" s="2">
        <v>9</v>
      </c>
      <c r="B10" s="3">
        <v>45677</v>
      </c>
      <c r="C10" s="2" t="s">
        <v>13</v>
      </c>
      <c r="D10" s="2" t="s">
        <v>21</v>
      </c>
      <c r="E10" s="2">
        <v>16</v>
      </c>
      <c r="F10" s="2">
        <v>12198</v>
      </c>
      <c r="G10" s="2">
        <f t="shared" si="1"/>
        <v>18297</v>
      </c>
      <c r="H10" s="2" t="s">
        <v>15</v>
      </c>
      <c r="I10">
        <f t="shared" si="0"/>
        <v>292752</v>
      </c>
    </row>
    <row r="11" spans="1:12" ht="22.5" customHeight="1" x14ac:dyDescent="0.25">
      <c r="A11" s="2">
        <v>10</v>
      </c>
      <c r="B11" s="3">
        <v>45679</v>
      </c>
      <c r="C11" s="2" t="s">
        <v>7</v>
      </c>
      <c r="D11" s="2" t="s">
        <v>22</v>
      </c>
      <c r="E11" s="2">
        <v>5</v>
      </c>
      <c r="F11" s="2">
        <v>41777</v>
      </c>
      <c r="G11" s="2">
        <f t="shared" si="1"/>
        <v>62665.5</v>
      </c>
      <c r="H11" s="2" t="s">
        <v>9</v>
      </c>
      <c r="I11">
        <f t="shared" si="0"/>
        <v>313327.5</v>
      </c>
    </row>
    <row r="12" spans="1:12" ht="15.75" customHeight="1" x14ac:dyDescent="0.25">
      <c r="A12" s="2">
        <v>11</v>
      </c>
      <c r="B12" s="3">
        <v>45658</v>
      </c>
      <c r="C12" s="2" t="s">
        <v>7</v>
      </c>
      <c r="D12" s="2" t="s">
        <v>8</v>
      </c>
      <c r="E12" s="2">
        <v>20</v>
      </c>
      <c r="F12" s="2">
        <v>23397</v>
      </c>
      <c r="G12" s="2">
        <f t="shared" si="1"/>
        <v>35095.5</v>
      </c>
      <c r="H12" s="2" t="s">
        <v>12</v>
      </c>
      <c r="I12">
        <f t="shared" si="0"/>
        <v>701910</v>
      </c>
    </row>
    <row r="13" spans="1:12" ht="15.75" customHeight="1" x14ac:dyDescent="0.25">
      <c r="A13" s="2">
        <v>12</v>
      </c>
      <c r="B13" s="3">
        <v>45659</v>
      </c>
      <c r="C13" s="2" t="s">
        <v>10</v>
      </c>
      <c r="D13" s="2" t="s">
        <v>11</v>
      </c>
      <c r="E13" s="2">
        <v>3</v>
      </c>
      <c r="F13" s="2">
        <v>14241</v>
      </c>
      <c r="G13" s="2">
        <f t="shared" si="1"/>
        <v>21361.5</v>
      </c>
      <c r="H13" s="2" t="s">
        <v>15</v>
      </c>
      <c r="I13">
        <f t="shared" si="0"/>
        <v>64084.5</v>
      </c>
    </row>
    <row r="14" spans="1:12" ht="15.75" customHeight="1" x14ac:dyDescent="0.25">
      <c r="A14" s="2">
        <v>13</v>
      </c>
      <c r="B14" s="3">
        <v>45662</v>
      </c>
      <c r="C14" s="2" t="s">
        <v>13</v>
      </c>
      <c r="D14" s="2" t="s">
        <v>14</v>
      </c>
      <c r="E14" s="2">
        <v>20</v>
      </c>
      <c r="F14" s="2">
        <v>16165</v>
      </c>
      <c r="G14" s="2">
        <f t="shared" si="1"/>
        <v>24247.5</v>
      </c>
      <c r="H14" s="2" t="s">
        <v>9</v>
      </c>
      <c r="I14">
        <f t="shared" si="0"/>
        <v>484950</v>
      </c>
    </row>
    <row r="15" spans="1:12" ht="15.75" customHeight="1" x14ac:dyDescent="0.25">
      <c r="A15" s="2">
        <v>14</v>
      </c>
      <c r="B15" s="3">
        <v>45664</v>
      </c>
      <c r="C15" s="2" t="s">
        <v>7</v>
      </c>
      <c r="D15" s="2" t="s">
        <v>16</v>
      </c>
      <c r="E15" s="2">
        <v>6</v>
      </c>
      <c r="F15" s="2">
        <v>10608</v>
      </c>
      <c r="G15" s="2">
        <f t="shared" si="1"/>
        <v>15912</v>
      </c>
      <c r="H15" s="2" t="s">
        <v>12</v>
      </c>
      <c r="I15">
        <f t="shared" si="0"/>
        <v>95472</v>
      </c>
    </row>
    <row r="16" spans="1:12" ht="15.75" customHeight="1" x14ac:dyDescent="0.25">
      <c r="A16" s="2">
        <v>15</v>
      </c>
      <c r="B16" s="3">
        <v>45667</v>
      </c>
      <c r="C16" s="2" t="s">
        <v>10</v>
      </c>
      <c r="D16" s="2" t="s">
        <v>17</v>
      </c>
      <c r="E16" s="2">
        <v>13</v>
      </c>
      <c r="F16" s="2">
        <v>29976</v>
      </c>
      <c r="G16" s="2">
        <f t="shared" si="1"/>
        <v>44964</v>
      </c>
      <c r="H16" s="2" t="s">
        <v>15</v>
      </c>
      <c r="I16">
        <f t="shared" si="0"/>
        <v>584532</v>
      </c>
    </row>
    <row r="17" spans="1:12" ht="15.75" customHeight="1" x14ac:dyDescent="0.25">
      <c r="A17" s="2">
        <v>16</v>
      </c>
      <c r="B17" s="3">
        <v>45669</v>
      </c>
      <c r="C17" s="2" t="s">
        <v>13</v>
      </c>
      <c r="D17" s="2" t="s">
        <v>18</v>
      </c>
      <c r="E17" s="2">
        <v>4</v>
      </c>
      <c r="F17" s="2">
        <v>22250</v>
      </c>
      <c r="G17" s="2">
        <f t="shared" si="1"/>
        <v>33375</v>
      </c>
      <c r="H17" s="2" t="s">
        <v>9</v>
      </c>
      <c r="I17">
        <f t="shared" si="0"/>
        <v>133500</v>
      </c>
    </row>
    <row r="18" spans="1:12" ht="15.75" customHeight="1" x14ac:dyDescent="0.25">
      <c r="A18" s="2">
        <v>17</v>
      </c>
      <c r="B18" s="3">
        <v>45672</v>
      </c>
      <c r="C18" s="2" t="s">
        <v>7</v>
      </c>
      <c r="D18" s="2" t="s">
        <v>19</v>
      </c>
      <c r="E18" s="2">
        <v>15</v>
      </c>
      <c r="F18" s="2">
        <v>36787</v>
      </c>
      <c r="G18" s="2">
        <f t="shared" si="1"/>
        <v>55180.5</v>
      </c>
      <c r="H18" s="2" t="s">
        <v>12</v>
      </c>
      <c r="I18">
        <f t="shared" si="0"/>
        <v>827707.5</v>
      </c>
    </row>
    <row r="19" spans="1:12" ht="15.75" customHeight="1" x14ac:dyDescent="0.25">
      <c r="A19" s="2">
        <v>18</v>
      </c>
      <c r="B19" s="3">
        <v>45675</v>
      </c>
      <c r="C19" s="2" t="s">
        <v>10</v>
      </c>
      <c r="D19" s="2" t="s">
        <v>20</v>
      </c>
      <c r="E19" s="2">
        <v>9</v>
      </c>
      <c r="F19" s="2">
        <v>32511</v>
      </c>
      <c r="G19" s="2">
        <f t="shared" si="1"/>
        <v>48766.5</v>
      </c>
      <c r="H19" s="2" t="s">
        <v>15</v>
      </c>
      <c r="I19">
        <f t="shared" si="0"/>
        <v>438898.5</v>
      </c>
      <c r="K19" s="7" t="s">
        <v>2</v>
      </c>
      <c r="L19" t="s">
        <v>7</v>
      </c>
    </row>
    <row r="20" spans="1:12" ht="15.75" customHeight="1" x14ac:dyDescent="0.25">
      <c r="A20" s="2">
        <v>19</v>
      </c>
      <c r="B20" s="3">
        <v>45677</v>
      </c>
      <c r="C20" s="2" t="s">
        <v>13</v>
      </c>
      <c r="D20" s="2" t="s">
        <v>21</v>
      </c>
      <c r="E20" s="2">
        <v>19</v>
      </c>
      <c r="F20" s="2">
        <v>25050</v>
      </c>
      <c r="G20" s="2">
        <f t="shared" si="1"/>
        <v>37575</v>
      </c>
      <c r="H20" s="2" t="s">
        <v>9</v>
      </c>
      <c r="I20">
        <f t="shared" si="0"/>
        <v>713925</v>
      </c>
      <c r="K20" s="7" t="s">
        <v>25</v>
      </c>
      <c r="L20" t="s">
        <v>9</v>
      </c>
    </row>
    <row r="21" spans="1:12" ht="15.75" customHeight="1" x14ac:dyDescent="0.25">
      <c r="A21" s="2">
        <v>20</v>
      </c>
      <c r="B21" s="3">
        <v>45679</v>
      </c>
      <c r="C21" s="2" t="s">
        <v>7</v>
      </c>
      <c r="D21" s="2" t="s">
        <v>22</v>
      </c>
      <c r="E21" s="2">
        <v>12</v>
      </c>
      <c r="F21" s="2">
        <v>35677</v>
      </c>
      <c r="G21" s="2">
        <f t="shared" si="1"/>
        <v>53515.5</v>
      </c>
      <c r="H21" s="2" t="s">
        <v>12</v>
      </c>
      <c r="I21">
        <f t="shared" si="0"/>
        <v>642186</v>
      </c>
    </row>
    <row r="22" spans="1:12" ht="15.75" customHeight="1" x14ac:dyDescent="0.25">
      <c r="A22" s="2">
        <v>21</v>
      </c>
      <c r="B22" s="3">
        <v>45658</v>
      </c>
      <c r="C22" s="2" t="s">
        <v>7</v>
      </c>
      <c r="D22" s="2" t="s">
        <v>8</v>
      </c>
      <c r="E22" s="2">
        <v>17</v>
      </c>
      <c r="F22" s="2">
        <v>28163</v>
      </c>
      <c r="G22" s="2">
        <f t="shared" si="1"/>
        <v>42244.5</v>
      </c>
      <c r="H22" s="2" t="s">
        <v>15</v>
      </c>
      <c r="I22">
        <f t="shared" si="0"/>
        <v>718156.5</v>
      </c>
      <c r="K22" s="7" t="s">
        <v>1</v>
      </c>
      <c r="L22" t="s">
        <v>28</v>
      </c>
    </row>
    <row r="23" spans="1:12" ht="15.75" customHeight="1" x14ac:dyDescent="0.25">
      <c r="A23" s="2">
        <v>22</v>
      </c>
      <c r="B23" s="3">
        <v>45659</v>
      </c>
      <c r="C23" s="2" t="s">
        <v>10</v>
      </c>
      <c r="D23" s="2" t="s">
        <v>11</v>
      </c>
      <c r="E23" s="2">
        <v>11</v>
      </c>
      <c r="F23" s="2">
        <v>42908</v>
      </c>
      <c r="G23" s="2">
        <f t="shared" si="1"/>
        <v>64362</v>
      </c>
      <c r="H23" s="2" t="s">
        <v>9</v>
      </c>
      <c r="I23">
        <f t="shared" si="0"/>
        <v>707982</v>
      </c>
      <c r="K23" s="10">
        <v>45658</v>
      </c>
      <c r="L23" s="6">
        <v>813758.25</v>
      </c>
    </row>
    <row r="24" spans="1:12" ht="15.75" customHeight="1" x14ac:dyDescent="0.25">
      <c r="A24" s="2">
        <v>23</v>
      </c>
      <c r="B24" s="3">
        <v>45662</v>
      </c>
      <c r="C24" s="2" t="s">
        <v>13</v>
      </c>
      <c r="D24" s="2" t="s">
        <v>14</v>
      </c>
      <c r="E24" s="2">
        <v>2</v>
      </c>
      <c r="F24" s="2">
        <v>40040</v>
      </c>
      <c r="G24" s="2">
        <f t="shared" si="1"/>
        <v>60060</v>
      </c>
      <c r="H24" s="2" t="s">
        <v>12</v>
      </c>
      <c r="I24">
        <f t="shared" si="0"/>
        <v>120120</v>
      </c>
      <c r="K24" s="10">
        <v>45664</v>
      </c>
      <c r="L24" s="6">
        <v>805362.75</v>
      </c>
    </row>
    <row r="25" spans="1:12" ht="15.75" customHeight="1" x14ac:dyDescent="0.25">
      <c r="A25" s="2">
        <v>24</v>
      </c>
      <c r="B25" s="3">
        <v>45664</v>
      </c>
      <c r="C25" s="2" t="s">
        <v>7</v>
      </c>
      <c r="D25" s="2" t="s">
        <v>16</v>
      </c>
      <c r="E25" s="2">
        <v>9</v>
      </c>
      <c r="F25" s="2">
        <v>39337</v>
      </c>
      <c r="G25" s="2">
        <f t="shared" si="1"/>
        <v>59005.5</v>
      </c>
      <c r="H25" s="2" t="s">
        <v>15</v>
      </c>
      <c r="I25">
        <f t="shared" si="0"/>
        <v>531049.5</v>
      </c>
      <c r="K25" s="10">
        <v>45672</v>
      </c>
      <c r="L25" s="6">
        <v>636712.5</v>
      </c>
    </row>
    <row r="26" spans="1:12" ht="15.75" customHeight="1" x14ac:dyDescent="0.25">
      <c r="A26" s="2">
        <v>25</v>
      </c>
      <c r="B26" s="3">
        <v>45667</v>
      </c>
      <c r="C26" s="2" t="s">
        <v>10</v>
      </c>
      <c r="D26" s="2" t="s">
        <v>17</v>
      </c>
      <c r="E26" s="2">
        <v>1</v>
      </c>
      <c r="F26" s="2">
        <v>42382</v>
      </c>
      <c r="G26" s="2">
        <f t="shared" si="1"/>
        <v>63573</v>
      </c>
      <c r="H26" s="2" t="s">
        <v>9</v>
      </c>
      <c r="I26">
        <f t="shared" si="0"/>
        <v>63573</v>
      </c>
      <c r="K26" s="10">
        <v>45679</v>
      </c>
      <c r="L26" s="6">
        <v>263821.875</v>
      </c>
    </row>
    <row r="27" spans="1:12" ht="15.75" customHeight="1" x14ac:dyDescent="0.25">
      <c r="A27" s="2">
        <v>26</v>
      </c>
      <c r="B27" s="3">
        <v>45669</v>
      </c>
      <c r="C27" s="2" t="s">
        <v>13</v>
      </c>
      <c r="D27" s="2" t="s">
        <v>18</v>
      </c>
      <c r="E27" s="2">
        <v>1</v>
      </c>
      <c r="F27" s="2">
        <v>10669</v>
      </c>
      <c r="G27" s="2">
        <f t="shared" si="1"/>
        <v>16003.5</v>
      </c>
      <c r="H27" s="2" t="s">
        <v>12</v>
      </c>
      <c r="I27">
        <f t="shared" si="0"/>
        <v>16003.5</v>
      </c>
      <c r="K27" s="10" t="s">
        <v>24</v>
      </c>
      <c r="L27" s="6">
        <v>629913.84375</v>
      </c>
    </row>
    <row r="28" spans="1:12" ht="15.75" customHeight="1" x14ac:dyDescent="0.25">
      <c r="A28" s="2">
        <v>27</v>
      </c>
      <c r="B28" s="3">
        <v>45672</v>
      </c>
      <c r="C28" s="2" t="s">
        <v>7</v>
      </c>
      <c r="D28" s="2" t="s">
        <v>19</v>
      </c>
      <c r="E28" s="2">
        <v>18</v>
      </c>
      <c r="F28" s="2">
        <v>13644</v>
      </c>
      <c r="G28" s="2">
        <f t="shared" si="1"/>
        <v>20466</v>
      </c>
      <c r="H28" s="2" t="s">
        <v>15</v>
      </c>
      <c r="I28">
        <f t="shared" si="0"/>
        <v>368388</v>
      </c>
    </row>
    <row r="29" spans="1:12" ht="15.75" customHeight="1" x14ac:dyDescent="0.25">
      <c r="A29" s="2">
        <v>28</v>
      </c>
      <c r="B29" s="3">
        <v>45675</v>
      </c>
      <c r="C29" s="2" t="s">
        <v>10</v>
      </c>
      <c r="D29" s="2" t="s">
        <v>20</v>
      </c>
      <c r="E29" s="2">
        <v>1</v>
      </c>
      <c r="F29" s="2">
        <v>22538</v>
      </c>
      <c r="G29" s="2">
        <f t="shared" si="1"/>
        <v>33807</v>
      </c>
      <c r="H29" s="2" t="s">
        <v>9</v>
      </c>
      <c r="I29">
        <f t="shared" si="0"/>
        <v>33807</v>
      </c>
    </row>
    <row r="30" spans="1:12" ht="15.75" customHeight="1" x14ac:dyDescent="0.25">
      <c r="A30" s="2">
        <v>29</v>
      </c>
      <c r="B30" s="3">
        <v>45677</v>
      </c>
      <c r="C30" s="2" t="s">
        <v>13</v>
      </c>
      <c r="D30" s="2" t="s">
        <v>21</v>
      </c>
      <c r="E30" s="2">
        <v>2</v>
      </c>
      <c r="F30" s="2">
        <v>20906</v>
      </c>
      <c r="G30" s="2">
        <f t="shared" si="1"/>
        <v>31359</v>
      </c>
      <c r="H30" s="2" t="s">
        <v>12</v>
      </c>
      <c r="I30">
        <f t="shared" si="0"/>
        <v>62718</v>
      </c>
    </row>
    <row r="31" spans="1:12" ht="15.75" customHeight="1" x14ac:dyDescent="0.25">
      <c r="A31" s="2">
        <v>30</v>
      </c>
      <c r="B31" s="3">
        <v>45679</v>
      </c>
      <c r="C31" s="2" t="s">
        <v>7</v>
      </c>
      <c r="D31" s="2" t="s">
        <v>22</v>
      </c>
      <c r="E31" s="2">
        <v>19</v>
      </c>
      <c r="F31" s="2">
        <v>41869</v>
      </c>
      <c r="G31" s="2">
        <f t="shared" si="1"/>
        <v>62803.5</v>
      </c>
      <c r="H31" s="2" t="s">
        <v>15</v>
      </c>
      <c r="I31">
        <f t="shared" si="0"/>
        <v>1193266.5</v>
      </c>
    </row>
    <row r="32" spans="1:12" ht="15.75" customHeight="1" x14ac:dyDescent="0.25">
      <c r="A32" s="2">
        <v>31</v>
      </c>
      <c r="B32" s="3">
        <v>45658</v>
      </c>
      <c r="C32" s="2" t="s">
        <v>7</v>
      </c>
      <c r="D32" s="2" t="s">
        <v>8</v>
      </c>
      <c r="E32" s="2">
        <v>20</v>
      </c>
      <c r="F32" s="2">
        <v>33977</v>
      </c>
      <c r="G32" s="2">
        <f t="shared" si="1"/>
        <v>50965.5</v>
      </c>
      <c r="H32" s="2" t="s">
        <v>9</v>
      </c>
      <c r="I32">
        <f t="shared" si="0"/>
        <v>1019310</v>
      </c>
    </row>
    <row r="33" spans="1:12" ht="15.75" customHeight="1" x14ac:dyDescent="0.25">
      <c r="A33" s="2">
        <v>32</v>
      </c>
      <c r="B33" s="3">
        <v>45659</v>
      </c>
      <c r="C33" s="2" t="s">
        <v>10</v>
      </c>
      <c r="D33" s="2" t="s">
        <v>11</v>
      </c>
      <c r="E33" s="2">
        <v>2</v>
      </c>
      <c r="F33" s="2">
        <v>17957</v>
      </c>
      <c r="G33" s="2">
        <f t="shared" si="1"/>
        <v>26935.5</v>
      </c>
      <c r="H33" s="2" t="s">
        <v>12</v>
      </c>
      <c r="I33">
        <f t="shared" si="0"/>
        <v>53871</v>
      </c>
    </row>
    <row r="34" spans="1:12" ht="15.75" customHeight="1" x14ac:dyDescent="0.25">
      <c r="A34" s="2">
        <v>33</v>
      </c>
      <c r="B34" s="3">
        <v>45662</v>
      </c>
      <c r="C34" s="2" t="s">
        <v>13</v>
      </c>
      <c r="D34" s="2" t="s">
        <v>14</v>
      </c>
      <c r="E34" s="2">
        <v>2</v>
      </c>
      <c r="F34" s="2">
        <v>23367</v>
      </c>
      <c r="G34" s="2">
        <f t="shared" si="1"/>
        <v>35050.5</v>
      </c>
      <c r="H34" s="2" t="s">
        <v>15</v>
      </c>
      <c r="I34">
        <f t="shared" ref="I34:I65" si="2">E34*G34</f>
        <v>70101</v>
      </c>
    </row>
    <row r="35" spans="1:12" ht="15.75" customHeight="1" x14ac:dyDescent="0.25">
      <c r="A35" s="2">
        <v>34</v>
      </c>
      <c r="B35" s="3">
        <v>45664</v>
      </c>
      <c r="C35" s="2" t="s">
        <v>7</v>
      </c>
      <c r="D35" s="2" t="s">
        <v>16</v>
      </c>
      <c r="E35" s="2">
        <v>20</v>
      </c>
      <c r="F35" s="2">
        <v>41446</v>
      </c>
      <c r="G35" s="2">
        <f t="shared" si="1"/>
        <v>62169</v>
      </c>
      <c r="H35" s="2" t="s">
        <v>9</v>
      </c>
      <c r="I35">
        <f t="shared" si="2"/>
        <v>1243380</v>
      </c>
    </row>
    <row r="36" spans="1:12" ht="15.75" customHeight="1" x14ac:dyDescent="0.25">
      <c r="A36" s="2">
        <v>35</v>
      </c>
      <c r="B36" s="3">
        <v>45667</v>
      </c>
      <c r="C36" s="2" t="s">
        <v>10</v>
      </c>
      <c r="D36" s="2" t="s">
        <v>17</v>
      </c>
      <c r="E36" s="2">
        <v>2</v>
      </c>
      <c r="F36" s="2">
        <v>41315</v>
      </c>
      <c r="G36" s="2">
        <f t="shared" si="1"/>
        <v>61972.5</v>
      </c>
      <c r="H36" s="2" t="s">
        <v>12</v>
      </c>
      <c r="I36">
        <f t="shared" si="2"/>
        <v>123945</v>
      </c>
    </row>
    <row r="37" spans="1:12" ht="15.75" customHeight="1" x14ac:dyDescent="0.25">
      <c r="A37" s="2">
        <v>36</v>
      </c>
      <c r="B37" s="3">
        <v>45669</v>
      </c>
      <c r="C37" s="2" t="s">
        <v>13</v>
      </c>
      <c r="D37" s="2" t="s">
        <v>18</v>
      </c>
      <c r="E37" s="2">
        <v>9</v>
      </c>
      <c r="F37" s="2">
        <v>41082</v>
      </c>
      <c r="G37" s="2">
        <f t="shared" si="1"/>
        <v>61623</v>
      </c>
      <c r="H37" s="2" t="s">
        <v>15</v>
      </c>
      <c r="I37">
        <f t="shared" si="2"/>
        <v>554607</v>
      </c>
    </row>
    <row r="38" spans="1:12" ht="15.75" customHeight="1" x14ac:dyDescent="0.25">
      <c r="A38" s="2">
        <v>37</v>
      </c>
      <c r="B38" s="3">
        <v>45672</v>
      </c>
      <c r="C38" s="2" t="s">
        <v>7</v>
      </c>
      <c r="D38" s="2" t="s">
        <v>19</v>
      </c>
      <c r="E38" s="2">
        <v>5</v>
      </c>
      <c r="F38" s="2">
        <v>42995</v>
      </c>
      <c r="G38" s="2">
        <f t="shared" si="1"/>
        <v>64492.5</v>
      </c>
      <c r="H38" s="2" t="s">
        <v>9</v>
      </c>
      <c r="I38">
        <f t="shared" si="2"/>
        <v>322462.5</v>
      </c>
    </row>
    <row r="39" spans="1:12" ht="15.75" customHeight="1" x14ac:dyDescent="0.25">
      <c r="A39" s="2">
        <v>38</v>
      </c>
      <c r="B39" s="3">
        <v>45675</v>
      </c>
      <c r="C39" s="2" t="s">
        <v>10</v>
      </c>
      <c r="D39" s="2" t="s">
        <v>20</v>
      </c>
      <c r="E39" s="2">
        <v>20</v>
      </c>
      <c r="F39" s="2">
        <v>23666</v>
      </c>
      <c r="G39" s="2">
        <f t="shared" si="1"/>
        <v>35499</v>
      </c>
      <c r="H39" s="2" t="s">
        <v>12</v>
      </c>
      <c r="I39">
        <f t="shared" si="2"/>
        <v>709980</v>
      </c>
    </row>
    <row r="40" spans="1:12" ht="15.75" customHeight="1" x14ac:dyDescent="0.25">
      <c r="A40" s="2">
        <v>39</v>
      </c>
      <c r="B40" s="3">
        <v>45677</v>
      </c>
      <c r="C40" s="2" t="s">
        <v>13</v>
      </c>
      <c r="D40" s="2" t="s">
        <v>21</v>
      </c>
      <c r="E40" s="2">
        <v>16</v>
      </c>
      <c r="F40" s="2">
        <v>22939</v>
      </c>
      <c r="G40" s="2">
        <f t="shared" si="1"/>
        <v>34408.5</v>
      </c>
      <c r="H40" s="2" t="s">
        <v>15</v>
      </c>
      <c r="I40">
        <f t="shared" si="2"/>
        <v>550536</v>
      </c>
    </row>
    <row r="41" spans="1:12" ht="15.75" customHeight="1" x14ac:dyDescent="0.25">
      <c r="A41" s="2">
        <v>40</v>
      </c>
      <c r="B41" s="3">
        <v>45679</v>
      </c>
      <c r="C41" s="2" t="s">
        <v>7</v>
      </c>
      <c r="D41" s="2" t="s">
        <v>22</v>
      </c>
      <c r="E41" s="2">
        <v>14</v>
      </c>
      <c r="F41" s="2">
        <v>13299</v>
      </c>
      <c r="G41" s="2">
        <f t="shared" si="1"/>
        <v>19948.5</v>
      </c>
      <c r="H41" s="2" t="s">
        <v>9</v>
      </c>
      <c r="I41">
        <f t="shared" si="2"/>
        <v>279279</v>
      </c>
    </row>
    <row r="42" spans="1:12" ht="15.75" customHeight="1" x14ac:dyDescent="0.25">
      <c r="A42" s="2">
        <v>41</v>
      </c>
      <c r="B42" s="3">
        <v>45658</v>
      </c>
      <c r="C42" s="2" t="s">
        <v>7</v>
      </c>
      <c r="D42" s="2" t="s">
        <v>8</v>
      </c>
      <c r="E42" s="2">
        <v>10</v>
      </c>
      <c r="F42" s="2">
        <v>17423</v>
      </c>
      <c r="G42" s="2">
        <f t="shared" si="1"/>
        <v>26134.5</v>
      </c>
      <c r="H42" s="2" t="s">
        <v>12</v>
      </c>
      <c r="I42">
        <f t="shared" si="2"/>
        <v>261345</v>
      </c>
    </row>
    <row r="43" spans="1:12" ht="15.75" customHeight="1" x14ac:dyDescent="0.25">
      <c r="A43" s="2">
        <v>42</v>
      </c>
      <c r="B43" s="3">
        <v>45659</v>
      </c>
      <c r="C43" s="2" t="s">
        <v>10</v>
      </c>
      <c r="D43" s="2" t="s">
        <v>11</v>
      </c>
      <c r="E43" s="2">
        <v>12</v>
      </c>
      <c r="F43" s="2">
        <v>26398</v>
      </c>
      <c r="G43" s="2">
        <f t="shared" si="1"/>
        <v>39597</v>
      </c>
      <c r="H43" s="2" t="s">
        <v>15</v>
      </c>
      <c r="I43">
        <f t="shared" si="2"/>
        <v>475164</v>
      </c>
    </row>
    <row r="44" spans="1:12" ht="15.75" customHeight="1" x14ac:dyDescent="0.25">
      <c r="A44" s="2">
        <v>43</v>
      </c>
      <c r="B44" s="3">
        <v>45662</v>
      </c>
      <c r="C44" s="2" t="s">
        <v>13</v>
      </c>
      <c r="D44" s="2" t="s">
        <v>14</v>
      </c>
      <c r="E44" s="2">
        <v>19</v>
      </c>
      <c r="F44" s="2">
        <v>23513</v>
      </c>
      <c r="G44" s="2">
        <f t="shared" si="1"/>
        <v>35269.5</v>
      </c>
      <c r="H44" s="2" t="s">
        <v>9</v>
      </c>
      <c r="I44">
        <f t="shared" si="2"/>
        <v>670120.5</v>
      </c>
      <c r="K44" s="7" t="s">
        <v>2</v>
      </c>
      <c r="L44" t="s">
        <v>13</v>
      </c>
    </row>
    <row r="45" spans="1:12" ht="15.75" customHeight="1" x14ac:dyDescent="0.25">
      <c r="A45" s="2">
        <v>44</v>
      </c>
      <c r="B45" s="3">
        <v>45664</v>
      </c>
      <c r="C45" s="2" t="s">
        <v>7</v>
      </c>
      <c r="D45" s="2" t="s">
        <v>16</v>
      </c>
      <c r="E45" s="2">
        <v>10</v>
      </c>
      <c r="F45" s="2">
        <v>10064</v>
      </c>
      <c r="G45" s="2">
        <f t="shared" si="1"/>
        <v>15096</v>
      </c>
      <c r="H45" s="2" t="s">
        <v>12</v>
      </c>
      <c r="I45">
        <f t="shared" si="2"/>
        <v>150960</v>
      </c>
    </row>
    <row r="46" spans="1:12" ht="15.75" customHeight="1" x14ac:dyDescent="0.25">
      <c r="A46" s="2">
        <v>45</v>
      </c>
      <c r="B46" s="3">
        <v>45667</v>
      </c>
      <c r="C46" s="2" t="s">
        <v>10</v>
      </c>
      <c r="D46" s="2" t="s">
        <v>17</v>
      </c>
      <c r="E46" s="2">
        <v>1</v>
      </c>
      <c r="F46" s="2">
        <v>25406</v>
      </c>
      <c r="G46" s="2">
        <f t="shared" si="1"/>
        <v>38109</v>
      </c>
      <c r="H46" s="2" t="s">
        <v>15</v>
      </c>
      <c r="I46">
        <f t="shared" si="2"/>
        <v>38109</v>
      </c>
      <c r="K46" s="7" t="s">
        <v>1</v>
      </c>
      <c r="L46" t="s">
        <v>28</v>
      </c>
    </row>
    <row r="47" spans="1:12" ht="15.75" customHeight="1" x14ac:dyDescent="0.25">
      <c r="A47" s="2">
        <v>46</v>
      </c>
      <c r="B47" s="3">
        <v>45669</v>
      </c>
      <c r="C47" s="2" t="s">
        <v>13</v>
      </c>
      <c r="D47" s="2" t="s">
        <v>18</v>
      </c>
      <c r="E47" s="2">
        <v>9</v>
      </c>
      <c r="F47" s="2">
        <v>23574</v>
      </c>
      <c r="G47" s="2">
        <f t="shared" si="1"/>
        <v>35361</v>
      </c>
      <c r="H47" s="2" t="s">
        <v>9</v>
      </c>
      <c r="I47">
        <f t="shared" si="2"/>
        <v>318249</v>
      </c>
      <c r="K47" s="10">
        <v>45662</v>
      </c>
      <c r="L47" s="6">
        <v>401156.1</v>
      </c>
    </row>
    <row r="48" spans="1:12" ht="15.75" customHeight="1" x14ac:dyDescent="0.25">
      <c r="A48" s="2">
        <v>47</v>
      </c>
      <c r="B48" s="3">
        <v>45672</v>
      </c>
      <c r="C48" s="2" t="s">
        <v>7</v>
      </c>
      <c r="D48" s="2" t="s">
        <v>19</v>
      </c>
      <c r="E48" s="2">
        <v>3</v>
      </c>
      <c r="F48" s="2">
        <v>33320</v>
      </c>
      <c r="G48" s="2">
        <f t="shared" si="1"/>
        <v>49980</v>
      </c>
      <c r="H48" s="2" t="s">
        <v>12</v>
      </c>
      <c r="I48">
        <f t="shared" si="2"/>
        <v>149940</v>
      </c>
      <c r="K48" s="10">
        <v>45669</v>
      </c>
      <c r="L48" s="6">
        <v>396719.25</v>
      </c>
    </row>
    <row r="49" spans="1:12" ht="15.75" customHeight="1" x14ac:dyDescent="0.25">
      <c r="A49" s="2">
        <v>48</v>
      </c>
      <c r="B49" s="3">
        <v>45675</v>
      </c>
      <c r="C49" s="2" t="s">
        <v>10</v>
      </c>
      <c r="D49" s="2" t="s">
        <v>20</v>
      </c>
      <c r="E49" s="2">
        <v>1</v>
      </c>
      <c r="F49" s="2">
        <v>29888</v>
      </c>
      <c r="G49" s="2">
        <f t="shared" si="1"/>
        <v>44832</v>
      </c>
      <c r="H49" s="2" t="s">
        <v>15</v>
      </c>
      <c r="I49">
        <f t="shared" si="2"/>
        <v>44832</v>
      </c>
      <c r="K49" s="10">
        <v>45677</v>
      </c>
      <c r="L49" s="6">
        <v>538632.44999999995</v>
      </c>
    </row>
    <row r="50" spans="1:12" ht="15.75" customHeight="1" x14ac:dyDescent="0.25">
      <c r="A50" s="2">
        <v>49</v>
      </c>
      <c r="B50" s="3">
        <v>45677</v>
      </c>
      <c r="C50" s="2" t="s">
        <v>13</v>
      </c>
      <c r="D50" s="2" t="s">
        <v>21</v>
      </c>
      <c r="E50" s="2">
        <v>17</v>
      </c>
      <c r="F50" s="2">
        <v>32361</v>
      </c>
      <c r="G50" s="2">
        <f t="shared" si="1"/>
        <v>48541.5</v>
      </c>
      <c r="H50" s="2" t="s">
        <v>9</v>
      </c>
      <c r="I50">
        <f t="shared" si="2"/>
        <v>825205.5</v>
      </c>
      <c r="K50" s="10" t="s">
        <v>24</v>
      </c>
      <c r="L50" s="6">
        <v>445502.6</v>
      </c>
    </row>
    <row r="51" spans="1:12" ht="15.75" customHeight="1" x14ac:dyDescent="0.25">
      <c r="A51" s="2">
        <v>50</v>
      </c>
      <c r="B51" s="3">
        <v>45679</v>
      </c>
      <c r="C51" s="2" t="s">
        <v>7</v>
      </c>
      <c r="D51" s="2" t="s">
        <v>22</v>
      </c>
      <c r="E51" s="2">
        <v>12</v>
      </c>
      <c r="F51" s="2">
        <v>10047</v>
      </c>
      <c r="G51" s="2">
        <f t="shared" si="1"/>
        <v>15070.5</v>
      </c>
      <c r="H51" s="2" t="s">
        <v>12</v>
      </c>
      <c r="I51">
        <f t="shared" si="2"/>
        <v>180846</v>
      </c>
    </row>
    <row r="52" spans="1:12" ht="15.75" customHeight="1" x14ac:dyDescent="0.25">
      <c r="A52" s="2">
        <v>51</v>
      </c>
      <c r="B52" s="3">
        <v>45658</v>
      </c>
      <c r="C52" s="2" t="s">
        <v>7</v>
      </c>
      <c r="D52" s="2" t="s">
        <v>8</v>
      </c>
      <c r="E52" s="2">
        <v>7</v>
      </c>
      <c r="F52" s="2">
        <v>29970</v>
      </c>
      <c r="G52" s="2">
        <f t="shared" si="1"/>
        <v>44955</v>
      </c>
      <c r="H52" s="2" t="s">
        <v>15</v>
      </c>
      <c r="I52">
        <f t="shared" si="2"/>
        <v>314685</v>
      </c>
    </row>
    <row r="53" spans="1:12" ht="15.75" customHeight="1" x14ac:dyDescent="0.25">
      <c r="A53" s="2">
        <v>52</v>
      </c>
      <c r="B53" s="3">
        <v>45659</v>
      </c>
      <c r="C53" s="2" t="s">
        <v>10</v>
      </c>
      <c r="D53" s="2" t="s">
        <v>11</v>
      </c>
      <c r="E53" s="2">
        <v>16</v>
      </c>
      <c r="F53" s="2">
        <v>24661</v>
      </c>
      <c r="G53" s="2">
        <f t="shared" si="1"/>
        <v>36991.5</v>
      </c>
      <c r="H53" s="2" t="s">
        <v>9</v>
      </c>
      <c r="I53">
        <f t="shared" si="2"/>
        <v>591864</v>
      </c>
    </row>
    <row r="54" spans="1:12" ht="15.75" customHeight="1" x14ac:dyDescent="0.25">
      <c r="A54" s="2">
        <v>53</v>
      </c>
      <c r="B54" s="3">
        <v>45662</v>
      </c>
      <c r="C54" s="2" t="s">
        <v>13</v>
      </c>
      <c r="D54" s="2" t="s">
        <v>14</v>
      </c>
      <c r="E54" s="2">
        <v>15</v>
      </c>
      <c r="F54" s="2">
        <v>39997</v>
      </c>
      <c r="G54" s="2">
        <f t="shared" si="1"/>
        <v>59995.5</v>
      </c>
      <c r="H54" s="2" t="s">
        <v>12</v>
      </c>
      <c r="I54">
        <f t="shared" si="2"/>
        <v>899932.5</v>
      </c>
    </row>
    <row r="55" spans="1:12" ht="15.75" customHeight="1" x14ac:dyDescent="0.25">
      <c r="A55" s="2">
        <v>54</v>
      </c>
      <c r="B55" s="3">
        <v>45664</v>
      </c>
      <c r="C55" s="2" t="s">
        <v>7</v>
      </c>
      <c r="D55" s="2" t="s">
        <v>16</v>
      </c>
      <c r="E55" s="2">
        <v>3</v>
      </c>
      <c r="F55" s="2">
        <v>37424</v>
      </c>
      <c r="G55" s="2">
        <f t="shared" si="1"/>
        <v>56136</v>
      </c>
      <c r="H55" s="2" t="s">
        <v>15</v>
      </c>
      <c r="I55">
        <f t="shared" si="2"/>
        <v>168408</v>
      </c>
    </row>
    <row r="56" spans="1:12" ht="15.75" customHeight="1" x14ac:dyDescent="0.25">
      <c r="A56" s="2">
        <v>55</v>
      </c>
      <c r="B56" s="3">
        <v>45667</v>
      </c>
      <c r="C56" s="2" t="s">
        <v>10</v>
      </c>
      <c r="D56" s="2" t="s">
        <v>17</v>
      </c>
      <c r="E56" s="2">
        <v>8</v>
      </c>
      <c r="F56" s="2">
        <v>37127</v>
      </c>
      <c r="G56" s="2">
        <f t="shared" si="1"/>
        <v>55690.5</v>
      </c>
      <c r="H56" s="2" t="s">
        <v>9</v>
      </c>
      <c r="I56">
        <f t="shared" si="2"/>
        <v>445524</v>
      </c>
    </row>
    <row r="57" spans="1:12" ht="15.75" customHeight="1" x14ac:dyDescent="0.25">
      <c r="A57" s="2">
        <v>56</v>
      </c>
      <c r="B57" s="3">
        <v>45669</v>
      </c>
      <c r="C57" s="2" t="s">
        <v>13</v>
      </c>
      <c r="D57" s="2" t="s">
        <v>18</v>
      </c>
      <c r="E57" s="2">
        <v>13</v>
      </c>
      <c r="F57" s="2">
        <v>16457</v>
      </c>
      <c r="G57" s="2">
        <f t="shared" si="1"/>
        <v>24685.5</v>
      </c>
      <c r="H57" s="2" t="s">
        <v>12</v>
      </c>
      <c r="I57">
        <f t="shared" si="2"/>
        <v>320911.5</v>
      </c>
    </row>
    <row r="58" spans="1:12" ht="15.75" customHeight="1" x14ac:dyDescent="0.25">
      <c r="A58" s="2">
        <v>57</v>
      </c>
      <c r="B58" s="3">
        <v>45672</v>
      </c>
      <c r="C58" s="2" t="s">
        <v>7</v>
      </c>
      <c r="D58" s="2" t="s">
        <v>19</v>
      </c>
      <c r="E58" s="2">
        <v>10</v>
      </c>
      <c r="F58" s="2">
        <v>21229</v>
      </c>
      <c r="G58" s="2">
        <f t="shared" si="1"/>
        <v>31843.5</v>
      </c>
      <c r="H58" s="2" t="s">
        <v>15</v>
      </c>
      <c r="I58">
        <f t="shared" si="2"/>
        <v>318435</v>
      </c>
    </row>
    <row r="59" spans="1:12" ht="15.75" customHeight="1" x14ac:dyDescent="0.25">
      <c r="A59" s="2">
        <v>58</v>
      </c>
      <c r="B59" s="3">
        <v>45675</v>
      </c>
      <c r="C59" s="2" t="s">
        <v>10</v>
      </c>
      <c r="D59" s="2" t="s">
        <v>20</v>
      </c>
      <c r="E59" s="2">
        <v>12</v>
      </c>
      <c r="F59" s="2">
        <v>31114</v>
      </c>
      <c r="G59" s="2">
        <f t="shared" si="1"/>
        <v>46671</v>
      </c>
      <c r="H59" s="2" t="s">
        <v>9</v>
      </c>
      <c r="I59">
        <f t="shared" si="2"/>
        <v>560052</v>
      </c>
    </row>
    <row r="60" spans="1:12" ht="15.75" customHeight="1" x14ac:dyDescent="0.25">
      <c r="A60" s="2">
        <v>59</v>
      </c>
      <c r="B60" s="3">
        <v>45677</v>
      </c>
      <c r="C60" s="2" t="s">
        <v>13</v>
      </c>
      <c r="D60" s="2" t="s">
        <v>21</v>
      </c>
      <c r="E60" s="2">
        <v>6</v>
      </c>
      <c r="F60" s="2">
        <v>33778</v>
      </c>
      <c r="G60" s="2">
        <f t="shared" si="1"/>
        <v>50667</v>
      </c>
      <c r="H60" s="2" t="s">
        <v>12</v>
      </c>
      <c r="I60">
        <f t="shared" si="2"/>
        <v>304002</v>
      </c>
    </row>
    <row r="61" spans="1:12" ht="15.75" customHeight="1" x14ac:dyDescent="0.25">
      <c r="A61" s="2">
        <v>60</v>
      </c>
      <c r="B61" s="3">
        <v>45679</v>
      </c>
      <c r="C61" s="2" t="s">
        <v>7</v>
      </c>
      <c r="D61" s="2" t="s">
        <v>22</v>
      </c>
      <c r="E61" s="2">
        <v>1</v>
      </c>
      <c r="F61" s="2">
        <v>32388</v>
      </c>
      <c r="G61" s="2">
        <f t="shared" si="1"/>
        <v>48582</v>
      </c>
      <c r="H61" s="2" t="s">
        <v>15</v>
      </c>
      <c r="I61">
        <f t="shared" si="2"/>
        <v>48582</v>
      </c>
    </row>
    <row r="62" spans="1:12" ht="15.75" customHeight="1" x14ac:dyDescent="0.25">
      <c r="A62" s="2">
        <v>61</v>
      </c>
      <c r="B62" s="3">
        <v>45658</v>
      </c>
      <c r="C62" s="2" t="s">
        <v>7</v>
      </c>
      <c r="D62" s="2" t="s">
        <v>8</v>
      </c>
      <c r="E62" s="2">
        <v>20</v>
      </c>
      <c r="F62" s="2">
        <v>37687</v>
      </c>
      <c r="G62" s="2">
        <f t="shared" si="1"/>
        <v>56530.5</v>
      </c>
      <c r="H62" s="2" t="s">
        <v>9</v>
      </c>
      <c r="I62">
        <f t="shared" si="2"/>
        <v>1130610</v>
      </c>
    </row>
    <row r="63" spans="1:12" ht="15.75" customHeight="1" x14ac:dyDescent="0.25">
      <c r="A63" s="2">
        <v>62</v>
      </c>
      <c r="B63" s="3">
        <v>45659</v>
      </c>
      <c r="C63" s="2" t="s">
        <v>10</v>
      </c>
      <c r="D63" s="2" t="s">
        <v>11</v>
      </c>
      <c r="E63" s="2">
        <v>5</v>
      </c>
      <c r="F63" s="2">
        <v>29346</v>
      </c>
      <c r="G63" s="2">
        <f t="shared" si="1"/>
        <v>44019</v>
      </c>
      <c r="H63" s="2" t="s">
        <v>12</v>
      </c>
      <c r="I63">
        <f t="shared" si="2"/>
        <v>220095</v>
      </c>
    </row>
    <row r="64" spans="1:12" ht="15.75" customHeight="1" x14ac:dyDescent="0.25">
      <c r="A64" s="2">
        <v>63</v>
      </c>
      <c r="B64" s="3">
        <v>45662</v>
      </c>
      <c r="C64" s="2" t="s">
        <v>13</v>
      </c>
      <c r="D64" s="2" t="s">
        <v>14</v>
      </c>
      <c r="E64" s="2">
        <v>20</v>
      </c>
      <c r="F64" s="2">
        <v>21807</v>
      </c>
      <c r="G64" s="2">
        <f t="shared" si="1"/>
        <v>32710.5</v>
      </c>
      <c r="H64" s="2" t="s">
        <v>15</v>
      </c>
      <c r="I64">
        <f t="shared" si="2"/>
        <v>654210</v>
      </c>
    </row>
    <row r="65" spans="1:12" ht="15.75" customHeight="1" x14ac:dyDescent="0.25">
      <c r="A65" s="2">
        <v>64</v>
      </c>
      <c r="B65" s="3">
        <v>45664</v>
      </c>
      <c r="C65" s="2" t="s">
        <v>7</v>
      </c>
      <c r="D65" s="2" t="s">
        <v>16</v>
      </c>
      <c r="E65" s="2">
        <v>10</v>
      </c>
      <c r="F65" s="2">
        <v>21817</v>
      </c>
      <c r="G65" s="2">
        <f t="shared" si="1"/>
        <v>32725.5</v>
      </c>
      <c r="H65" s="2" t="s">
        <v>9</v>
      </c>
      <c r="I65">
        <f t="shared" si="2"/>
        <v>327255</v>
      </c>
    </row>
    <row r="66" spans="1:12" ht="15.75" customHeight="1" x14ac:dyDescent="0.25">
      <c r="A66" s="2">
        <v>65</v>
      </c>
      <c r="B66" s="3">
        <v>45667</v>
      </c>
      <c r="C66" s="2" t="s">
        <v>10</v>
      </c>
      <c r="D66" s="2" t="s">
        <v>17</v>
      </c>
      <c r="E66" s="2">
        <v>19</v>
      </c>
      <c r="F66" s="2">
        <v>39496</v>
      </c>
      <c r="G66" s="2">
        <f t="shared" si="1"/>
        <v>59244</v>
      </c>
      <c r="H66" s="2" t="s">
        <v>12</v>
      </c>
      <c r="I66">
        <f t="shared" ref="I66:I101" si="3">E66*G66</f>
        <v>1125636</v>
      </c>
    </row>
    <row r="67" spans="1:12" ht="15.75" customHeight="1" x14ac:dyDescent="0.25">
      <c r="A67" s="2">
        <v>66</v>
      </c>
      <c r="B67" s="3">
        <v>45669</v>
      </c>
      <c r="C67" s="2" t="s">
        <v>13</v>
      </c>
      <c r="D67" s="2" t="s">
        <v>18</v>
      </c>
      <c r="E67" s="2">
        <v>10</v>
      </c>
      <c r="F67" s="2">
        <v>24855</v>
      </c>
      <c r="G67" s="2">
        <f t="shared" ref="G67:G101" si="4">F67*1.5</f>
        <v>37282.5</v>
      </c>
      <c r="H67" s="2" t="s">
        <v>15</v>
      </c>
      <c r="I67">
        <f t="shared" si="3"/>
        <v>372825</v>
      </c>
    </row>
    <row r="68" spans="1:12" ht="15.75" customHeight="1" x14ac:dyDescent="0.25">
      <c r="A68" s="2">
        <v>67</v>
      </c>
      <c r="B68" s="3">
        <v>45672</v>
      </c>
      <c r="C68" s="2" t="s">
        <v>7</v>
      </c>
      <c r="D68" s="2" t="s">
        <v>19</v>
      </c>
      <c r="E68" s="2">
        <v>15</v>
      </c>
      <c r="F68" s="2">
        <v>47825</v>
      </c>
      <c r="G68" s="2">
        <f t="shared" si="4"/>
        <v>71737.5</v>
      </c>
      <c r="H68" s="2" t="s">
        <v>9</v>
      </c>
      <c r="I68">
        <f t="shared" si="3"/>
        <v>1076062.5</v>
      </c>
    </row>
    <row r="69" spans="1:12" ht="15.75" customHeight="1" x14ac:dyDescent="0.25">
      <c r="A69" s="2">
        <v>68</v>
      </c>
      <c r="B69" s="3">
        <v>45675</v>
      </c>
      <c r="C69" s="2" t="s">
        <v>10</v>
      </c>
      <c r="D69" s="2" t="s">
        <v>20</v>
      </c>
      <c r="E69" s="2">
        <v>1</v>
      </c>
      <c r="F69" s="2">
        <v>46115</v>
      </c>
      <c r="G69" s="2">
        <f t="shared" si="4"/>
        <v>69172.5</v>
      </c>
      <c r="H69" s="2" t="s">
        <v>12</v>
      </c>
      <c r="I69">
        <f t="shared" si="3"/>
        <v>69172.5</v>
      </c>
    </row>
    <row r="70" spans="1:12" ht="15.75" customHeight="1" x14ac:dyDescent="0.25">
      <c r="A70" s="2">
        <v>69</v>
      </c>
      <c r="B70" s="3">
        <v>45677</v>
      </c>
      <c r="C70" s="2" t="s">
        <v>13</v>
      </c>
      <c r="D70" s="2" t="s">
        <v>21</v>
      </c>
      <c r="E70" s="2">
        <v>12</v>
      </c>
      <c r="F70" s="2">
        <v>22533</v>
      </c>
      <c r="G70" s="2">
        <f t="shared" si="4"/>
        <v>33799.5</v>
      </c>
      <c r="H70" s="2" t="s">
        <v>15</v>
      </c>
      <c r="I70">
        <f t="shared" si="3"/>
        <v>405594</v>
      </c>
      <c r="K70" s="7" t="s">
        <v>3</v>
      </c>
      <c r="L70" t="s">
        <v>16</v>
      </c>
    </row>
    <row r="71" spans="1:12" ht="15.75" customHeight="1" x14ac:dyDescent="0.25">
      <c r="A71" s="2">
        <v>70</v>
      </c>
      <c r="B71" s="3">
        <v>45679</v>
      </c>
      <c r="C71" s="2" t="s">
        <v>7</v>
      </c>
      <c r="D71" s="2" t="s">
        <v>22</v>
      </c>
      <c r="E71" s="2">
        <v>6</v>
      </c>
      <c r="F71" s="2">
        <v>26317</v>
      </c>
      <c r="G71" s="2">
        <f t="shared" si="4"/>
        <v>39475.5</v>
      </c>
      <c r="H71" s="2" t="s">
        <v>9</v>
      </c>
      <c r="I71">
        <f t="shared" si="3"/>
        <v>236853</v>
      </c>
    </row>
    <row r="72" spans="1:12" ht="15.75" customHeight="1" x14ac:dyDescent="0.25">
      <c r="A72" s="2">
        <v>71</v>
      </c>
      <c r="B72" s="3">
        <v>45658</v>
      </c>
      <c r="C72" s="2" t="s">
        <v>7</v>
      </c>
      <c r="D72" s="2" t="s">
        <v>8</v>
      </c>
      <c r="E72" s="2">
        <v>16</v>
      </c>
      <c r="F72" s="2">
        <v>26432</v>
      </c>
      <c r="G72" s="2">
        <f t="shared" si="4"/>
        <v>39648</v>
      </c>
      <c r="H72" s="2" t="s">
        <v>12</v>
      </c>
      <c r="I72">
        <f t="shared" si="3"/>
        <v>634368</v>
      </c>
      <c r="K72" s="7" t="s">
        <v>25</v>
      </c>
      <c r="L72" t="s">
        <v>28</v>
      </c>
    </row>
    <row r="73" spans="1:12" ht="15.75" customHeight="1" x14ac:dyDescent="0.25">
      <c r="A73" s="2">
        <v>72</v>
      </c>
      <c r="B73" s="3">
        <v>45659</v>
      </c>
      <c r="C73" s="2" t="s">
        <v>10</v>
      </c>
      <c r="D73" s="2" t="s">
        <v>11</v>
      </c>
      <c r="E73" s="2">
        <v>1</v>
      </c>
      <c r="F73" s="2">
        <v>42783</v>
      </c>
      <c r="G73" s="2">
        <f t="shared" si="4"/>
        <v>64174.5</v>
      </c>
      <c r="H73" s="2" t="s">
        <v>15</v>
      </c>
      <c r="I73">
        <f t="shared" si="3"/>
        <v>64174.5</v>
      </c>
      <c r="K73" t="s">
        <v>9</v>
      </c>
      <c r="L73" s="6">
        <v>805362.75</v>
      </c>
    </row>
    <row r="74" spans="1:12" ht="15.75" customHeight="1" x14ac:dyDescent="0.25">
      <c r="A74" s="2">
        <v>73</v>
      </c>
      <c r="B74" s="3">
        <v>45662</v>
      </c>
      <c r="C74" s="2" t="s">
        <v>13</v>
      </c>
      <c r="D74" s="2" t="s">
        <v>14</v>
      </c>
      <c r="E74" s="2">
        <v>12</v>
      </c>
      <c r="F74" s="2">
        <v>19926</v>
      </c>
      <c r="G74" s="2">
        <f t="shared" si="4"/>
        <v>29889</v>
      </c>
      <c r="H74" s="2" t="s">
        <v>9</v>
      </c>
      <c r="I74">
        <f t="shared" si="3"/>
        <v>358668</v>
      </c>
      <c r="K74" t="s">
        <v>15</v>
      </c>
      <c r="L74" s="6">
        <v>322209</v>
      </c>
    </row>
    <row r="75" spans="1:12" ht="15.75" customHeight="1" x14ac:dyDescent="0.25">
      <c r="A75" s="2">
        <v>74</v>
      </c>
      <c r="B75" s="3">
        <v>45664</v>
      </c>
      <c r="C75" s="2" t="s">
        <v>7</v>
      </c>
      <c r="D75" s="2" t="s">
        <v>16</v>
      </c>
      <c r="E75" s="2">
        <v>14</v>
      </c>
      <c r="F75" s="2">
        <v>14355</v>
      </c>
      <c r="G75" s="2">
        <f t="shared" si="4"/>
        <v>21532.5</v>
      </c>
      <c r="H75" s="2" t="s">
        <v>12</v>
      </c>
      <c r="I75">
        <f t="shared" si="3"/>
        <v>301455</v>
      </c>
      <c r="K75" t="s">
        <v>12</v>
      </c>
      <c r="L75" s="6">
        <v>182629</v>
      </c>
    </row>
    <row r="76" spans="1:12" ht="15.75" customHeight="1" x14ac:dyDescent="0.25">
      <c r="A76" s="2">
        <v>75</v>
      </c>
      <c r="B76" s="3">
        <v>45667</v>
      </c>
      <c r="C76" s="2" t="s">
        <v>10</v>
      </c>
      <c r="D76" s="2" t="s">
        <v>17</v>
      </c>
      <c r="E76" s="2">
        <v>13</v>
      </c>
      <c r="F76" s="2">
        <v>46419</v>
      </c>
      <c r="G76" s="2">
        <f t="shared" si="4"/>
        <v>69628.5</v>
      </c>
      <c r="H76" s="2" t="s">
        <v>15</v>
      </c>
      <c r="I76">
        <f t="shared" si="3"/>
        <v>905170.5</v>
      </c>
      <c r="K76" t="s">
        <v>24</v>
      </c>
      <c r="L76" s="6">
        <v>473596.5</v>
      </c>
    </row>
    <row r="77" spans="1:12" ht="15.75" customHeight="1" x14ac:dyDescent="0.25">
      <c r="A77" s="2">
        <v>76</v>
      </c>
      <c r="B77" s="3">
        <v>45669</v>
      </c>
      <c r="C77" s="2" t="s">
        <v>13</v>
      </c>
      <c r="D77" s="2" t="s">
        <v>18</v>
      </c>
      <c r="E77" s="2">
        <v>20</v>
      </c>
      <c r="F77" s="2">
        <v>17568</v>
      </c>
      <c r="G77" s="2">
        <f t="shared" si="4"/>
        <v>26352</v>
      </c>
      <c r="H77" s="2" t="s">
        <v>9</v>
      </c>
      <c r="I77">
        <f t="shared" si="3"/>
        <v>527040</v>
      </c>
    </row>
    <row r="78" spans="1:12" ht="15.75" customHeight="1" x14ac:dyDescent="0.25">
      <c r="A78" s="2">
        <v>77</v>
      </c>
      <c r="B78" s="3">
        <v>45672</v>
      </c>
      <c r="C78" s="2" t="s">
        <v>7</v>
      </c>
      <c r="D78" s="2" t="s">
        <v>19</v>
      </c>
      <c r="E78" s="2">
        <v>9</v>
      </c>
      <c r="F78" s="2">
        <v>24613</v>
      </c>
      <c r="G78" s="2">
        <f t="shared" si="4"/>
        <v>36919.5</v>
      </c>
      <c r="H78" s="2" t="s">
        <v>12</v>
      </c>
      <c r="I78">
        <f t="shared" si="3"/>
        <v>332275.5</v>
      </c>
    </row>
    <row r="79" spans="1:12" ht="15.75" customHeight="1" x14ac:dyDescent="0.25">
      <c r="A79" s="2">
        <v>78</v>
      </c>
      <c r="B79" s="3">
        <v>45675</v>
      </c>
      <c r="C79" s="2" t="s">
        <v>10</v>
      </c>
      <c r="D79" s="2" t="s">
        <v>20</v>
      </c>
      <c r="E79" s="2">
        <v>15</v>
      </c>
      <c r="F79" s="2">
        <v>45696</v>
      </c>
      <c r="G79" s="2">
        <f t="shared" si="4"/>
        <v>68544</v>
      </c>
      <c r="H79" s="2" t="s">
        <v>15</v>
      </c>
      <c r="I79">
        <f t="shared" si="3"/>
        <v>1028160</v>
      </c>
    </row>
    <row r="80" spans="1:12" ht="15.75" customHeight="1" x14ac:dyDescent="0.25">
      <c r="A80" s="2">
        <v>79</v>
      </c>
      <c r="B80" s="3">
        <v>45677</v>
      </c>
      <c r="C80" s="2" t="s">
        <v>13</v>
      </c>
      <c r="D80" s="2" t="s">
        <v>21</v>
      </c>
      <c r="E80" s="2">
        <v>19</v>
      </c>
      <c r="F80" s="2">
        <v>44730</v>
      </c>
      <c r="G80" s="2">
        <f t="shared" si="4"/>
        <v>67095</v>
      </c>
      <c r="H80" s="2" t="s">
        <v>9</v>
      </c>
      <c r="I80">
        <f t="shared" si="3"/>
        <v>1274805</v>
      </c>
    </row>
    <row r="81" spans="1:9" ht="15.75" customHeight="1" x14ac:dyDescent="0.25">
      <c r="A81" s="2">
        <v>80</v>
      </c>
      <c r="B81" s="3">
        <v>45679</v>
      </c>
      <c r="C81" s="2" t="s">
        <v>7</v>
      </c>
      <c r="D81" s="2" t="s">
        <v>22</v>
      </c>
      <c r="E81" s="2">
        <v>6</v>
      </c>
      <c r="F81" s="2">
        <v>30386</v>
      </c>
      <c r="G81" s="2">
        <f t="shared" si="4"/>
        <v>45579</v>
      </c>
      <c r="H81" s="2" t="s">
        <v>12</v>
      </c>
      <c r="I81">
        <f t="shared" si="3"/>
        <v>273474</v>
      </c>
    </row>
    <row r="82" spans="1:9" ht="15.75" customHeight="1" x14ac:dyDescent="0.25">
      <c r="A82" s="2">
        <v>81</v>
      </c>
      <c r="B82" s="3">
        <v>45658</v>
      </c>
      <c r="C82" s="2" t="s">
        <v>7</v>
      </c>
      <c r="D82" s="2" t="s">
        <v>8</v>
      </c>
      <c r="E82" s="2">
        <v>2</v>
      </c>
      <c r="F82" s="2">
        <v>32011</v>
      </c>
      <c r="G82" s="2">
        <f t="shared" si="4"/>
        <v>48016.5</v>
      </c>
      <c r="H82" s="2" t="s">
        <v>15</v>
      </c>
      <c r="I82">
        <f t="shared" si="3"/>
        <v>96033</v>
      </c>
    </row>
    <row r="83" spans="1:9" ht="15.75" customHeight="1" x14ac:dyDescent="0.25">
      <c r="A83" s="2">
        <v>82</v>
      </c>
      <c r="B83" s="3">
        <v>45659</v>
      </c>
      <c r="C83" s="2" t="s">
        <v>10</v>
      </c>
      <c r="D83" s="2" t="s">
        <v>11</v>
      </c>
      <c r="E83" s="2">
        <v>5</v>
      </c>
      <c r="F83" s="2">
        <v>43152</v>
      </c>
      <c r="G83" s="2">
        <f t="shared" si="4"/>
        <v>64728</v>
      </c>
      <c r="H83" s="2" t="s">
        <v>9</v>
      </c>
      <c r="I83">
        <f t="shared" si="3"/>
        <v>323640</v>
      </c>
    </row>
    <row r="84" spans="1:9" ht="15.75" customHeight="1" x14ac:dyDescent="0.25">
      <c r="A84" s="2">
        <v>83</v>
      </c>
      <c r="B84" s="3">
        <v>45662</v>
      </c>
      <c r="C84" s="2" t="s">
        <v>13</v>
      </c>
      <c r="D84" s="2" t="s">
        <v>14</v>
      </c>
      <c r="E84" s="2">
        <v>3</v>
      </c>
      <c r="F84" s="2">
        <v>31300</v>
      </c>
      <c r="G84" s="2">
        <f t="shared" si="4"/>
        <v>46950</v>
      </c>
      <c r="H84" s="2" t="s">
        <v>12</v>
      </c>
      <c r="I84">
        <f t="shared" si="3"/>
        <v>140850</v>
      </c>
    </row>
    <row r="85" spans="1:9" ht="15.75" customHeight="1" x14ac:dyDescent="0.25">
      <c r="A85" s="2">
        <v>84</v>
      </c>
      <c r="B85" s="3">
        <v>45664</v>
      </c>
      <c r="C85" s="2" t="s">
        <v>7</v>
      </c>
      <c r="D85" s="2" t="s">
        <v>16</v>
      </c>
      <c r="E85" s="2">
        <v>13</v>
      </c>
      <c r="F85" s="2">
        <v>13701</v>
      </c>
      <c r="G85" s="2">
        <f t="shared" si="4"/>
        <v>20551.5</v>
      </c>
      <c r="H85" s="2" t="s">
        <v>15</v>
      </c>
      <c r="I85">
        <f t="shared" si="3"/>
        <v>267169.5</v>
      </c>
    </row>
    <row r="86" spans="1:9" ht="15.75" customHeight="1" x14ac:dyDescent="0.25">
      <c r="A86" s="2">
        <v>85</v>
      </c>
      <c r="B86" s="3">
        <v>45667</v>
      </c>
      <c r="C86" s="2" t="s">
        <v>10</v>
      </c>
      <c r="D86" s="2" t="s">
        <v>17</v>
      </c>
      <c r="E86" s="2">
        <v>18</v>
      </c>
      <c r="F86" s="2">
        <v>41167</v>
      </c>
      <c r="G86" s="2">
        <f t="shared" si="4"/>
        <v>61750.5</v>
      </c>
      <c r="H86" s="2" t="s">
        <v>9</v>
      </c>
      <c r="I86">
        <f t="shared" si="3"/>
        <v>1111509</v>
      </c>
    </row>
    <row r="87" spans="1:9" ht="15.75" customHeight="1" x14ac:dyDescent="0.25">
      <c r="A87" s="2">
        <v>86</v>
      </c>
      <c r="B87" s="3">
        <v>45669</v>
      </c>
      <c r="C87" s="2" t="s">
        <v>13</v>
      </c>
      <c r="D87" s="2" t="s">
        <v>18</v>
      </c>
      <c r="E87" s="2">
        <v>20</v>
      </c>
      <c r="F87" s="2">
        <v>16366</v>
      </c>
      <c r="G87" s="2">
        <f t="shared" si="4"/>
        <v>24549</v>
      </c>
      <c r="H87" s="2" t="s">
        <v>12</v>
      </c>
      <c r="I87">
        <f t="shared" si="3"/>
        <v>490980</v>
      </c>
    </row>
    <row r="88" spans="1:9" ht="15.75" customHeight="1" x14ac:dyDescent="0.25">
      <c r="A88" s="2">
        <v>87</v>
      </c>
      <c r="B88" s="3">
        <v>45672</v>
      </c>
      <c r="C88" s="2" t="s">
        <v>7</v>
      </c>
      <c r="D88" s="2" t="s">
        <v>19</v>
      </c>
      <c r="E88" s="2">
        <v>16</v>
      </c>
      <c r="F88" s="2">
        <v>27724</v>
      </c>
      <c r="G88" s="2">
        <f t="shared" si="4"/>
        <v>41586</v>
      </c>
      <c r="H88" s="2" t="s">
        <v>15</v>
      </c>
      <c r="I88">
        <f t="shared" si="3"/>
        <v>665376</v>
      </c>
    </row>
    <row r="89" spans="1:9" ht="15.75" customHeight="1" x14ac:dyDescent="0.25">
      <c r="A89" s="2">
        <v>88</v>
      </c>
      <c r="B89" s="3">
        <v>45675</v>
      </c>
      <c r="C89" s="2" t="s">
        <v>10</v>
      </c>
      <c r="D89" s="2" t="s">
        <v>20</v>
      </c>
      <c r="E89" s="2">
        <v>7</v>
      </c>
      <c r="F89" s="2">
        <v>46997</v>
      </c>
      <c r="G89" s="2">
        <f t="shared" si="4"/>
        <v>70495.5</v>
      </c>
      <c r="H89" s="2" t="s">
        <v>9</v>
      </c>
      <c r="I89">
        <f t="shared" si="3"/>
        <v>493468.5</v>
      </c>
    </row>
    <row r="90" spans="1:9" ht="15.75" customHeight="1" x14ac:dyDescent="0.25">
      <c r="A90" s="2">
        <v>89</v>
      </c>
      <c r="B90" s="3">
        <v>45677</v>
      </c>
      <c r="C90" s="2" t="s">
        <v>13</v>
      </c>
      <c r="D90" s="2" t="s">
        <v>21</v>
      </c>
      <c r="E90" s="2">
        <v>7</v>
      </c>
      <c r="F90" s="2">
        <v>22764</v>
      </c>
      <c r="G90" s="2">
        <f t="shared" si="4"/>
        <v>34146</v>
      </c>
      <c r="H90" s="2" t="s">
        <v>12</v>
      </c>
      <c r="I90">
        <f t="shared" si="3"/>
        <v>239022</v>
      </c>
    </row>
    <row r="91" spans="1:9" ht="15.75" customHeight="1" x14ac:dyDescent="0.25">
      <c r="A91" s="2">
        <v>90</v>
      </c>
      <c r="B91" s="3">
        <v>45679</v>
      </c>
      <c r="C91" s="2" t="s">
        <v>7</v>
      </c>
      <c r="D91" s="2" t="s">
        <v>22</v>
      </c>
      <c r="E91" s="2">
        <v>12</v>
      </c>
      <c r="F91" s="2">
        <v>18576</v>
      </c>
      <c r="G91" s="2">
        <f t="shared" si="4"/>
        <v>27864</v>
      </c>
      <c r="H91" s="2" t="s">
        <v>15</v>
      </c>
      <c r="I91">
        <f t="shared" si="3"/>
        <v>334368</v>
      </c>
    </row>
    <row r="92" spans="1:9" ht="15.75" customHeight="1" x14ac:dyDescent="0.25">
      <c r="A92" s="2">
        <v>91</v>
      </c>
      <c r="B92" s="3">
        <v>45658</v>
      </c>
      <c r="C92" s="2" t="s">
        <v>7</v>
      </c>
      <c r="D92" s="2" t="s">
        <v>8</v>
      </c>
      <c r="E92" s="2">
        <v>9</v>
      </c>
      <c r="F92" s="2">
        <v>36522</v>
      </c>
      <c r="G92" s="2">
        <f t="shared" si="4"/>
        <v>54783</v>
      </c>
      <c r="H92" s="2" t="s">
        <v>9</v>
      </c>
      <c r="I92">
        <f t="shared" si="3"/>
        <v>493047</v>
      </c>
    </row>
    <row r="93" spans="1:9" ht="15.75" customHeight="1" x14ac:dyDescent="0.25">
      <c r="A93" s="2">
        <v>92</v>
      </c>
      <c r="B93" s="3">
        <v>45659</v>
      </c>
      <c r="C93" s="2" t="s">
        <v>10</v>
      </c>
      <c r="D93" s="2" t="s">
        <v>11</v>
      </c>
      <c r="E93" s="2">
        <v>9</v>
      </c>
      <c r="F93" s="2">
        <v>10750</v>
      </c>
      <c r="G93" s="2">
        <f t="shared" si="4"/>
        <v>16125</v>
      </c>
      <c r="H93" s="2" t="s">
        <v>12</v>
      </c>
      <c r="I93">
        <f t="shared" si="3"/>
        <v>145125</v>
      </c>
    </row>
    <row r="94" spans="1:9" ht="15.75" customHeight="1" x14ac:dyDescent="0.25">
      <c r="A94" s="2">
        <v>93</v>
      </c>
      <c r="B94" s="3">
        <v>45662</v>
      </c>
      <c r="C94" s="2" t="s">
        <v>13</v>
      </c>
      <c r="D94" s="2" t="s">
        <v>14</v>
      </c>
      <c r="E94" s="2">
        <v>10</v>
      </c>
      <c r="F94" s="2">
        <v>20794</v>
      </c>
      <c r="G94" s="2">
        <f t="shared" si="4"/>
        <v>31191</v>
      </c>
      <c r="H94" s="2" t="s">
        <v>15</v>
      </c>
      <c r="I94">
        <f t="shared" si="3"/>
        <v>311910</v>
      </c>
    </row>
    <row r="95" spans="1:9" ht="15.75" customHeight="1" x14ac:dyDescent="0.25">
      <c r="A95" s="2">
        <v>94</v>
      </c>
      <c r="B95" s="3">
        <v>45664</v>
      </c>
      <c r="C95" s="2" t="s">
        <v>7</v>
      </c>
      <c r="D95" s="2" t="s">
        <v>16</v>
      </c>
      <c r="E95" s="2">
        <v>18</v>
      </c>
      <c r="F95" s="2">
        <v>49382</v>
      </c>
      <c r="G95" s="2">
        <f t="shared" si="4"/>
        <v>74073</v>
      </c>
      <c r="H95" s="2" t="s">
        <v>9</v>
      </c>
      <c r="I95">
        <f t="shared" si="3"/>
        <v>1333314</v>
      </c>
    </row>
    <row r="96" spans="1:9" ht="15.75" customHeight="1" x14ac:dyDescent="0.25">
      <c r="A96" s="2">
        <v>95</v>
      </c>
      <c r="B96" s="3">
        <v>45667</v>
      </c>
      <c r="C96" s="2" t="s">
        <v>10</v>
      </c>
      <c r="D96" s="2" t="s">
        <v>17</v>
      </c>
      <c r="E96" s="2">
        <v>6</v>
      </c>
      <c r="F96" s="2">
        <v>29638</v>
      </c>
      <c r="G96" s="2">
        <f t="shared" si="4"/>
        <v>44457</v>
      </c>
      <c r="H96" s="2" t="s">
        <v>12</v>
      </c>
      <c r="I96">
        <f t="shared" si="3"/>
        <v>266742</v>
      </c>
    </row>
    <row r="97" spans="1:9" ht="15.75" customHeight="1" x14ac:dyDescent="0.25">
      <c r="A97" s="2">
        <v>96</v>
      </c>
      <c r="B97" s="3">
        <v>45669</v>
      </c>
      <c r="C97" s="2" t="s">
        <v>13</v>
      </c>
      <c r="D97" s="2" t="s">
        <v>18</v>
      </c>
      <c r="E97" s="2">
        <v>6</v>
      </c>
      <c r="F97" s="2">
        <v>38485</v>
      </c>
      <c r="G97" s="2">
        <f t="shared" si="4"/>
        <v>57727.5</v>
      </c>
      <c r="H97" s="2" t="s">
        <v>15</v>
      </c>
      <c r="I97">
        <f t="shared" si="3"/>
        <v>346365</v>
      </c>
    </row>
    <row r="98" spans="1:9" ht="15.75" customHeight="1" x14ac:dyDescent="0.25">
      <c r="A98" s="2">
        <v>97</v>
      </c>
      <c r="B98" s="3">
        <v>45672</v>
      </c>
      <c r="C98" s="2" t="s">
        <v>7</v>
      </c>
      <c r="D98" s="2" t="s">
        <v>19</v>
      </c>
      <c r="E98" s="2">
        <v>14</v>
      </c>
      <c r="F98" s="2">
        <v>28488</v>
      </c>
      <c r="G98" s="2">
        <f t="shared" si="4"/>
        <v>42732</v>
      </c>
      <c r="H98" s="2" t="s">
        <v>9</v>
      </c>
      <c r="I98">
        <f t="shared" si="3"/>
        <v>598248</v>
      </c>
    </row>
    <row r="99" spans="1:9" ht="15.75" customHeight="1" x14ac:dyDescent="0.25">
      <c r="A99" s="2">
        <v>98</v>
      </c>
      <c r="B99" s="3">
        <v>45675</v>
      </c>
      <c r="C99" s="2" t="s">
        <v>10</v>
      </c>
      <c r="D99" s="2" t="s">
        <v>20</v>
      </c>
      <c r="E99" s="2">
        <v>8</v>
      </c>
      <c r="F99" s="2">
        <v>43933</v>
      </c>
      <c r="G99" s="2">
        <f t="shared" si="4"/>
        <v>65899.5</v>
      </c>
      <c r="H99" s="2" t="s">
        <v>12</v>
      </c>
      <c r="I99">
        <f t="shared" si="3"/>
        <v>527196</v>
      </c>
    </row>
    <row r="100" spans="1:9" ht="15.75" customHeight="1" x14ac:dyDescent="0.25">
      <c r="A100" s="2">
        <v>99</v>
      </c>
      <c r="B100" s="3">
        <v>45677</v>
      </c>
      <c r="C100" s="2" t="s">
        <v>13</v>
      </c>
      <c r="D100" s="2" t="s">
        <v>21</v>
      </c>
      <c r="E100" s="2">
        <v>10</v>
      </c>
      <c r="F100" s="2">
        <v>47851</v>
      </c>
      <c r="G100" s="2">
        <f t="shared" si="4"/>
        <v>71776.5</v>
      </c>
      <c r="H100" s="2" t="s">
        <v>15</v>
      </c>
      <c r="I100">
        <f t="shared" si="3"/>
        <v>717765</v>
      </c>
    </row>
    <row r="101" spans="1:9" ht="15.75" customHeight="1" x14ac:dyDescent="0.25">
      <c r="A101" s="2">
        <v>100</v>
      </c>
      <c r="B101" s="3">
        <v>45679</v>
      </c>
      <c r="C101" s="2" t="s">
        <v>7</v>
      </c>
      <c r="D101" s="2" t="s">
        <v>22</v>
      </c>
      <c r="E101" s="2">
        <v>8</v>
      </c>
      <c r="F101" s="2">
        <v>18819</v>
      </c>
      <c r="G101" s="2">
        <f t="shared" si="4"/>
        <v>28228.5</v>
      </c>
      <c r="H101" s="2" t="s">
        <v>9</v>
      </c>
      <c r="I101">
        <f t="shared" si="3"/>
        <v>225828</v>
      </c>
    </row>
  </sheetData>
  <dataValidations count="4">
    <dataValidation type="list" allowBlank="1" showDropDown="1" showErrorMessage="1" sqref="C2:C101" xr:uid="{00000000-0002-0000-0000-000000000000}">
      <formula1>"Electrónica,Hogar,Ropa"</formula1>
    </dataValidation>
    <dataValidation type="custom" allowBlank="1" showDropDown="1" sqref="B2:B101" xr:uid="{00000000-0002-0000-0000-000001000000}">
      <formula1>OR(NOT(ISERROR(DATEVALUE(B2))), AND(ISNUMBER(B2), LEFT(CELL("format", B2))="D"))</formula1>
    </dataValidation>
    <dataValidation type="list" allowBlank="1" showDropDown="1" showErrorMessage="1" sqref="H2:H101" xr:uid="{00000000-0002-0000-0000-000002000000}">
      <formula1>"Ana García,Luis Pérez,Marta Ruiz"</formula1>
    </dataValidation>
    <dataValidation type="custom" allowBlank="1" showDropDown="1" sqref="A2:A101 E2:G101" xr:uid="{00000000-0002-0000-0000-000003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E8B-5B22-46D7-964B-75413522DEB6}">
  <dimension ref="A1:I7"/>
  <sheetViews>
    <sheetView topLeftCell="A6" workbookViewId="0">
      <selection activeCell="F17" sqref="F17"/>
    </sheetView>
  </sheetViews>
  <sheetFormatPr baseColWidth="10" defaultRowHeight="12.5" x14ac:dyDescent="0.25"/>
  <cols>
    <col min="1" max="1" width="11.26953125" bestFit="1" customWidth="1"/>
    <col min="2" max="2" width="11" bestFit="1" customWidth="1"/>
    <col min="3" max="3" width="11.453125" bestFit="1" customWidth="1"/>
    <col min="4" max="4" width="11" bestFit="1" customWidth="1"/>
    <col min="5" max="5" width="11.08984375" bestFit="1" customWidth="1"/>
    <col min="6" max="6" width="15.453125" bestFit="1" customWidth="1"/>
    <col min="7" max="7" width="14" bestFit="1" customWidth="1"/>
    <col min="8" max="8" width="12.7265625" bestFit="1" customWidth="1"/>
    <col min="9" max="9" width="11" bestFit="1" customWidth="1"/>
  </cols>
  <sheetData>
    <row r="1" spans="1:9" ht="13" x14ac:dyDescent="0.3">
      <c r="A1" s="12" t="s">
        <v>29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25</v>
      </c>
      <c r="I3" t="s">
        <v>23</v>
      </c>
    </row>
    <row r="4" spans="1:9" x14ac:dyDescent="0.25">
      <c r="A4">
        <v>100</v>
      </c>
      <c r="B4" s="11">
        <v>45679</v>
      </c>
      <c r="C4" t="s">
        <v>7</v>
      </c>
      <c r="D4" t="s">
        <v>22</v>
      </c>
      <c r="E4">
        <v>8</v>
      </c>
      <c r="F4">
        <v>18819</v>
      </c>
      <c r="G4">
        <v>28228.5</v>
      </c>
      <c r="H4" t="s">
        <v>9</v>
      </c>
      <c r="I4">
        <v>225828</v>
      </c>
    </row>
    <row r="5" spans="1:9" x14ac:dyDescent="0.25">
      <c r="A5">
        <v>70</v>
      </c>
      <c r="B5" s="11">
        <v>45679</v>
      </c>
      <c r="C5" t="s">
        <v>7</v>
      </c>
      <c r="D5" t="s">
        <v>22</v>
      </c>
      <c r="E5">
        <v>6</v>
      </c>
      <c r="F5">
        <v>26317</v>
      </c>
      <c r="G5">
        <v>39475.5</v>
      </c>
      <c r="H5" t="s">
        <v>9</v>
      </c>
      <c r="I5">
        <v>236853</v>
      </c>
    </row>
    <row r="6" spans="1:9" x14ac:dyDescent="0.25">
      <c r="A6">
        <v>40</v>
      </c>
      <c r="B6" s="11">
        <v>45679</v>
      </c>
      <c r="C6" t="s">
        <v>7</v>
      </c>
      <c r="D6" t="s">
        <v>22</v>
      </c>
      <c r="E6">
        <v>14</v>
      </c>
      <c r="F6">
        <v>13299</v>
      </c>
      <c r="G6">
        <v>19948.5</v>
      </c>
      <c r="H6" t="s">
        <v>9</v>
      </c>
      <c r="I6">
        <v>279279</v>
      </c>
    </row>
    <row r="7" spans="1:9" x14ac:dyDescent="0.25">
      <c r="A7">
        <v>10</v>
      </c>
      <c r="B7" s="11">
        <v>45679</v>
      </c>
      <c r="C7" t="s">
        <v>7</v>
      </c>
      <c r="D7" t="s">
        <v>22</v>
      </c>
      <c r="E7">
        <v>5</v>
      </c>
      <c r="F7">
        <v>41777</v>
      </c>
      <c r="G7">
        <v>62665.5</v>
      </c>
      <c r="H7" t="s">
        <v>9</v>
      </c>
      <c r="I7">
        <v>313327.5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C135-0874-4856-9475-93D3FF0DCFCC}">
  <dimension ref="A2:B8"/>
  <sheetViews>
    <sheetView workbookViewId="0">
      <selection activeCell="C31" sqref="C31"/>
    </sheetView>
  </sheetViews>
  <sheetFormatPr baseColWidth="10" defaultRowHeight="12.5" x14ac:dyDescent="0.25"/>
  <cols>
    <col min="1" max="1" width="12.7265625" bestFit="1" customWidth="1"/>
    <col min="2" max="2" width="18.36328125" bestFit="1" customWidth="1"/>
  </cols>
  <sheetData>
    <row r="2" spans="1:2" x14ac:dyDescent="0.25">
      <c r="A2" s="7" t="s">
        <v>3</v>
      </c>
      <c r="B2" t="s">
        <v>16</v>
      </c>
    </row>
    <row r="4" spans="1:2" x14ac:dyDescent="0.25">
      <c r="A4" s="7" t="s">
        <v>25</v>
      </c>
      <c r="B4" t="s">
        <v>28</v>
      </c>
    </row>
    <row r="5" spans="1:2" x14ac:dyDescent="0.25">
      <c r="A5" t="s">
        <v>9</v>
      </c>
      <c r="B5" s="6">
        <v>805362.75</v>
      </c>
    </row>
    <row r="6" spans="1:2" x14ac:dyDescent="0.25">
      <c r="A6" t="s">
        <v>15</v>
      </c>
      <c r="B6" s="6">
        <v>322209</v>
      </c>
    </row>
    <row r="7" spans="1:2" x14ac:dyDescent="0.25">
      <c r="A7" t="s">
        <v>12</v>
      </c>
      <c r="B7" s="6">
        <v>182629</v>
      </c>
    </row>
    <row r="8" spans="1:2" x14ac:dyDescent="0.25">
      <c r="A8" t="s">
        <v>24</v>
      </c>
      <c r="B8" s="6">
        <v>473596.5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E063-B405-49E2-9E24-C3C5F0C89BEF}">
  <dimension ref="A2:B8"/>
  <sheetViews>
    <sheetView workbookViewId="0">
      <selection activeCell="C19" sqref="C19"/>
    </sheetView>
  </sheetViews>
  <sheetFormatPr baseColWidth="10" defaultRowHeight="12.5" x14ac:dyDescent="0.25"/>
  <cols>
    <col min="1" max="1" width="12.08984375" bestFit="1" customWidth="1"/>
    <col min="2" max="2" width="18.36328125" bestFit="1" customWidth="1"/>
  </cols>
  <sheetData>
    <row r="2" spans="1:2" x14ac:dyDescent="0.25">
      <c r="A2" s="7" t="s">
        <v>2</v>
      </c>
      <c r="B2" t="s">
        <v>13</v>
      </c>
    </row>
    <row r="4" spans="1:2" x14ac:dyDescent="0.25">
      <c r="A4" s="7" t="s">
        <v>1</v>
      </c>
      <c r="B4" t="s">
        <v>28</v>
      </c>
    </row>
    <row r="5" spans="1:2" x14ac:dyDescent="0.25">
      <c r="A5" s="10">
        <v>45662</v>
      </c>
      <c r="B5" s="6">
        <v>401156.1</v>
      </c>
    </row>
    <row r="6" spans="1:2" x14ac:dyDescent="0.25">
      <c r="A6" s="10">
        <v>45669</v>
      </c>
      <c r="B6" s="6">
        <v>396719.25</v>
      </c>
    </row>
    <row r="7" spans="1:2" x14ac:dyDescent="0.25">
      <c r="A7" s="10">
        <v>45677</v>
      </c>
      <c r="B7" s="6">
        <v>538632.44999999995</v>
      </c>
    </row>
    <row r="8" spans="1:2" x14ac:dyDescent="0.25">
      <c r="A8" s="10" t="s">
        <v>24</v>
      </c>
      <c r="B8" s="6">
        <v>445502.6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F079-2815-4183-92B7-EB08206883FE}">
  <dimension ref="A2:B10"/>
  <sheetViews>
    <sheetView workbookViewId="0">
      <selection activeCell="A2" sqref="A2:B10"/>
    </sheetView>
  </sheetViews>
  <sheetFormatPr baseColWidth="10" defaultRowHeight="12.5" x14ac:dyDescent="0.25"/>
  <cols>
    <col min="1" max="1" width="12.08984375" bestFit="1" customWidth="1"/>
    <col min="2" max="2" width="18.36328125" bestFit="1" customWidth="1"/>
  </cols>
  <sheetData>
    <row r="2" spans="1:2" x14ac:dyDescent="0.25">
      <c r="A2" s="7" t="s">
        <v>2</v>
      </c>
      <c r="B2" t="s">
        <v>7</v>
      </c>
    </row>
    <row r="3" spans="1:2" x14ac:dyDescent="0.25">
      <c r="A3" s="7" t="s">
        <v>25</v>
      </c>
      <c r="B3" t="s">
        <v>9</v>
      </c>
    </row>
    <row r="5" spans="1:2" x14ac:dyDescent="0.25">
      <c r="A5" s="7" t="s">
        <v>1</v>
      </c>
      <c r="B5" t="s">
        <v>28</v>
      </c>
    </row>
    <row r="6" spans="1:2" x14ac:dyDescent="0.25">
      <c r="A6" s="10">
        <v>45658</v>
      </c>
      <c r="B6" s="6">
        <v>813758.25</v>
      </c>
    </row>
    <row r="7" spans="1:2" x14ac:dyDescent="0.25">
      <c r="A7" s="10">
        <v>45664</v>
      </c>
      <c r="B7" s="6">
        <v>805362.75</v>
      </c>
    </row>
    <row r="8" spans="1:2" x14ac:dyDescent="0.25">
      <c r="A8" s="10">
        <v>45672</v>
      </c>
      <c r="B8" s="6">
        <v>636712.5</v>
      </c>
    </row>
    <row r="9" spans="1:2" x14ac:dyDescent="0.25">
      <c r="A9" s="10">
        <v>45679</v>
      </c>
      <c r="B9" s="6">
        <v>263821.875</v>
      </c>
    </row>
    <row r="10" spans="1:2" x14ac:dyDescent="0.25">
      <c r="A10" s="10" t="s">
        <v>24</v>
      </c>
      <c r="B10" s="6">
        <v>629913.84375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Generación de Datos para Anális</vt:lpstr>
      <vt:lpstr>Detalle1</vt:lpstr>
      <vt:lpstr>Hoja4</vt:lpstr>
      <vt:lpstr>Hoja5</vt:lpstr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GthDanizzZ</dc:creator>
  <cp:lastModifiedBy>DANIEL ALEJANDRO ANZOLA FORERO</cp:lastModifiedBy>
  <dcterms:created xsi:type="dcterms:W3CDTF">2026-02-01T16:20:24Z</dcterms:created>
  <dcterms:modified xsi:type="dcterms:W3CDTF">2026-02-01T17:10:47Z</dcterms:modified>
</cp:coreProperties>
</file>